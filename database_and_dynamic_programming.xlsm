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Code_Life\repos\Thesis\"/>
    </mc:Choice>
  </mc:AlternateContent>
  <xr:revisionPtr revIDLastSave="0" documentId="13_ncr:1_{1D6DC44C-0672-4DAB-9C9B-918D9D405483}" xr6:coauthVersionLast="40" xr6:coauthVersionMax="40" xr10:uidLastSave="{00000000-0000-0000-0000-000000000000}"/>
  <bookViews>
    <workbookView xWindow="0" yWindow="0" windowWidth="15345" windowHeight="4650" xr2:uid="{00000000-000D-0000-FFFF-FFFF00000000}"/>
  </bookViews>
  <sheets>
    <sheet name="Adatbazis" sheetId="1" r:id="rId1"/>
    <sheet name="KapcsolasiAbr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R11" i="1" l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10" i="1"/>
  <c r="AL55" i="1" l="1"/>
  <c r="AJ55" i="1"/>
  <c r="AI58" i="1"/>
  <c r="AL58" i="1" l="1"/>
  <c r="T55" i="1"/>
  <c r="AL59" i="1" s="1"/>
  <c r="Z54" i="1"/>
  <c r="Z53" i="1"/>
  <c r="Z51" i="1"/>
  <c r="Z52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1" i="1"/>
  <c r="Z28" i="1"/>
  <c r="Z25" i="1"/>
  <c r="Z24" i="1"/>
  <c r="Z23" i="1"/>
  <c r="Z22" i="1"/>
  <c r="Z20" i="1"/>
  <c r="Z19" i="1"/>
  <c r="F55" i="1"/>
  <c r="C55" i="1" l="1"/>
  <c r="Z33" i="1"/>
  <c r="Z32" i="1"/>
  <c r="Z30" i="1"/>
  <c r="Z29" i="1"/>
  <c r="Z27" i="1"/>
  <c r="Z26" i="1"/>
  <c r="Z21" i="1"/>
  <c r="Z18" i="1"/>
  <c r="Z17" i="1"/>
  <c r="Z16" i="1"/>
  <c r="Z15" i="1"/>
  <c r="Z14" i="1"/>
  <c r="Z13" i="1"/>
  <c r="Z12" i="1"/>
  <c r="Z11" i="1"/>
  <c r="Z10" i="1"/>
  <c r="H2" i="1"/>
  <c r="K2" i="1" s="1"/>
  <c r="E2" i="1"/>
  <c r="H1" i="1"/>
  <c r="E1" i="1"/>
  <c r="H3" i="1" l="1"/>
  <c r="E3" i="1"/>
  <c r="D55" i="1" s="1"/>
  <c r="K1" i="1"/>
  <c r="K3" i="1" s="1"/>
  <c r="E55" i="1" l="1"/>
  <c r="AI57" i="1" s="1"/>
  <c r="AE57" i="1" l="1"/>
  <c r="AE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B34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David:</t>
        </r>
        <r>
          <rPr>
            <sz val="9"/>
            <color indexed="81"/>
            <rFont val="Tahoma"/>
            <charset val="1"/>
          </rPr>
          <t xml:space="preserve">
Azon sorok száma, melyek áramai ezen a ponton egyesülnek.</t>
        </r>
      </text>
    </comment>
  </commentList>
</comments>
</file>

<file path=xl/sharedStrings.xml><?xml version="1.0" encoding="utf-8"?>
<sst xmlns="http://schemas.openxmlformats.org/spreadsheetml/2006/main" count="233" uniqueCount="196">
  <si>
    <t>t_pr,v</t>
  </si>
  <si>
    <t>t_pr,e</t>
  </si>
  <si>
    <t>Δp</t>
  </si>
  <si>
    <t>V_tél,max</t>
  </si>
  <si>
    <t>[°C]</t>
  </si>
  <si>
    <t>[bar]</t>
  </si>
  <si>
    <t>[m^3/h]</t>
  </si>
  <si>
    <t>Váci ut 2</t>
  </si>
  <si>
    <t>Bajcsy Zs.11</t>
  </si>
  <si>
    <t>Bajcsy Zs.17</t>
  </si>
  <si>
    <t>Balassi ut 47</t>
  </si>
  <si>
    <t>Szokolay ut 13</t>
  </si>
  <si>
    <t>Alkotmány 38</t>
  </si>
  <si>
    <t>Alkotmány 27</t>
  </si>
  <si>
    <t>Szalkai L. 7.</t>
  </si>
  <si>
    <t>Bajcsy zs. 30</t>
  </si>
  <si>
    <t>CIB bank</t>
  </si>
  <si>
    <t>Hősök tere 9</t>
  </si>
  <si>
    <t>Nagykárolyi ut</t>
  </si>
  <si>
    <t>Alkotmány 30</t>
  </si>
  <si>
    <t>Alkotmány 26</t>
  </si>
  <si>
    <t>Alkotmány 22</t>
  </si>
  <si>
    <t>Alkotmány 18</t>
  </si>
  <si>
    <t>Kossuth ut</t>
  </si>
  <si>
    <t>Kazinczi ut</t>
  </si>
  <si>
    <t>Alkotmány 14</t>
  </si>
  <si>
    <t>Alkotmány 10</t>
  </si>
  <si>
    <t>Szalkai L.ut</t>
  </si>
  <si>
    <t>Kölcsey ut</t>
  </si>
  <si>
    <t>Szakközépiskola</t>
  </si>
  <si>
    <t>Rákóczi iskola</t>
  </si>
  <si>
    <t>HKP cime</t>
  </si>
  <si>
    <t>Tervezői fűtési teljesítmény igény</t>
  </si>
  <si>
    <t>a</t>
  </si>
  <si>
    <t>b</t>
  </si>
  <si>
    <t>c</t>
  </si>
  <si>
    <t>d</t>
  </si>
  <si>
    <t>C_p,e</t>
  </si>
  <si>
    <t>C_p,v</t>
  </si>
  <si>
    <t>C_p,átl</t>
  </si>
  <si>
    <t>[kJ/kg*K]</t>
  </si>
  <si>
    <t>Tervezői tömegáram igény</t>
  </si>
  <si>
    <t>[kW]</t>
  </si>
  <si>
    <t>[kg/s]</t>
  </si>
  <si>
    <t>Tervezői térfogatáram igény</t>
  </si>
  <si>
    <t>[m^3/s]</t>
  </si>
  <si>
    <t>ρ_e</t>
  </si>
  <si>
    <t>ρ_v</t>
  </si>
  <si>
    <t>ρ_átl</t>
  </si>
  <si>
    <t>[kg/m^3]</t>
  </si>
  <si>
    <t>e</t>
  </si>
  <si>
    <t>[Ft/kWh]</t>
  </si>
  <si>
    <t>ζ_22</t>
  </si>
  <si>
    <t>ζ_45</t>
  </si>
  <si>
    <t>ζ_90</t>
  </si>
  <si>
    <t>k</t>
  </si>
  <si>
    <t>[mm]</t>
  </si>
  <si>
    <t>B</t>
  </si>
  <si>
    <t>[Ft/nyfm]</t>
  </si>
  <si>
    <t>[1/a]</t>
  </si>
  <si>
    <t>[m]</t>
  </si>
  <si>
    <t>Pi</t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</si>
  <si>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_átl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</si>
  <si>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_e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</si>
  <si>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_v</t>
    </r>
  </si>
  <si>
    <t>[m^2/s]</t>
  </si>
  <si>
    <t>T</t>
  </si>
  <si>
    <t>[h/a]</t>
  </si>
  <si>
    <t>[1]</t>
  </si>
  <si>
    <t>Méretarány</t>
  </si>
  <si>
    <t>[Ft/a]</t>
  </si>
  <si>
    <t>Inverz feladat (beszabályozatlan) - szivattyú MP megállapítása</t>
  </si>
  <si>
    <t>[bar*s^2/m^6]</t>
  </si>
  <si>
    <t>Csővezetékek hossza</t>
  </si>
  <si>
    <t>Total</t>
  </si>
  <si>
    <t>Szivattyú munkapont</t>
  </si>
  <si>
    <t>V_0</t>
  </si>
  <si>
    <t>Alap feladat (beszabályozás)</t>
  </si>
  <si>
    <t>Szivattyú MP megállapítása</t>
  </si>
  <si>
    <t>Ellenállások (fojtások) számítása</t>
  </si>
  <si>
    <r>
      <t xml:space="preserve">A szakasz és az ahhoz kapcsolódó csővezetékrendszer </t>
    </r>
    <r>
      <rPr>
        <b/>
        <sz val="10"/>
        <color rgb="FFFF0000"/>
        <rFont val="Times New Roman CE"/>
        <charset val="238"/>
      </rPr>
      <t>eredő</t>
    </r>
    <r>
      <rPr>
        <b/>
        <sz val="10"/>
        <rFont val="Times New Roman CE"/>
        <family val="1"/>
        <charset val="238"/>
      </rPr>
      <t xml:space="preserve"> ellenállása</t>
    </r>
  </si>
  <si>
    <t>[micron]</t>
  </si>
  <si>
    <t>D_nom</t>
  </si>
  <si>
    <t>Summa_dzeta</t>
  </si>
  <si>
    <t>Nyomásveszteség
d_25</t>
  </si>
  <si>
    <t>Nyomásveszteség
d_32</t>
  </si>
  <si>
    <t>Nyomásveszteség
d_40</t>
  </si>
  <si>
    <t>Nyomásveszteség
d_50</t>
  </si>
  <si>
    <t>Nyomásveszteség
d_65</t>
  </si>
  <si>
    <t>Nyomásveszteség
d_80</t>
  </si>
  <si>
    <t>Nyomásveszteség
d_100</t>
  </si>
  <si>
    <t>Nyomásveszteség
d_125</t>
  </si>
  <si>
    <t>Nyomásveszteség
d_150</t>
  </si>
  <si>
    <t>Nyomásveszteség
d_200</t>
  </si>
  <si>
    <t>Nyomásveszteség
d_250</t>
  </si>
  <si>
    <t>Nyomásveszteség
d_300</t>
  </si>
  <si>
    <t>Nyomásveszteség
d_350</t>
  </si>
  <si>
    <t>Optimális rendszerfüggetlen névleges csőátmérő</t>
  </si>
  <si>
    <t>Adott szakasz rendszerfüggetlen minimális éves összköltsége</t>
  </si>
  <si>
    <t>- K1</t>
  </si>
  <si>
    <t>- K2</t>
  </si>
  <si>
    <t>- K3</t>
  </si>
  <si>
    <t>- K4</t>
  </si>
  <si>
    <t>- K5</t>
  </si>
  <si>
    <t>- V1</t>
  </si>
  <si>
    <t>- V2</t>
  </si>
  <si>
    <t>- V3</t>
  </si>
  <si>
    <t>- V4</t>
  </si>
  <si>
    <t>- V5</t>
  </si>
  <si>
    <t>- V6</t>
  </si>
  <si>
    <t>- V7</t>
  </si>
  <si>
    <t>- V8</t>
  </si>
  <si>
    <t>- V9</t>
  </si>
  <si>
    <t>- V10</t>
  </si>
  <si>
    <t>- V11</t>
  </si>
  <si>
    <t>- V12</t>
  </si>
  <si>
    <t>- V13</t>
  </si>
  <si>
    <t>- V14</t>
  </si>
  <si>
    <t>- V15</t>
  </si>
  <si>
    <t>- V16</t>
  </si>
  <si>
    <t>- V17</t>
  </si>
  <si>
    <t>- V18</t>
  </si>
  <si>
    <t>- V19</t>
  </si>
  <si>
    <t>- 1</t>
  </si>
  <si>
    <t>- 2</t>
  </si>
  <si>
    <t>- 3</t>
  </si>
  <si>
    <t>- 4</t>
  </si>
  <si>
    <t>- 5</t>
  </si>
  <si>
    <t>- 6</t>
  </si>
  <si>
    <t>- 7</t>
  </si>
  <si>
    <t>- 8</t>
  </si>
  <si>
    <t>- 9</t>
  </si>
  <si>
    <t>- 10</t>
  </si>
  <si>
    <t>- 11</t>
  </si>
  <si>
    <t>- 12</t>
  </si>
  <si>
    <t>- 13</t>
  </si>
  <si>
    <t>- 14</t>
  </si>
  <si>
    <t>- 15</t>
  </si>
  <si>
    <t>- 16</t>
  </si>
  <si>
    <t>- 17</t>
  </si>
  <si>
    <t>- 18</t>
  </si>
  <si>
    <t>- 19</t>
  </si>
  <si>
    <t>- 20</t>
  </si>
  <si>
    <t>- 21</t>
  </si>
  <si>
    <t>HKP/csomópont
jele</t>
  </si>
  <si>
    <t>13;14</t>
  </si>
  <si>
    <t>10;34</t>
  </si>
  <si>
    <t>11;12</t>
  </si>
  <si>
    <t>35;36</t>
  </si>
  <si>
    <t>27;32</t>
  </si>
  <si>
    <t>19;31</t>
  </si>
  <si>
    <t>38;39</t>
  </si>
  <si>
    <t>20;40</t>
  </si>
  <si>
    <t>21;33</t>
  </si>
  <si>
    <t>41;42</t>
  </si>
  <si>
    <t>30;43</t>
  </si>
  <si>
    <t>17;18</t>
  </si>
  <si>
    <t>16;44;45</t>
  </si>
  <si>
    <t>28;29</t>
  </si>
  <si>
    <t>25;47</t>
  </si>
  <si>
    <t>24;48</t>
  </si>
  <si>
    <t>23;49</t>
  </si>
  <si>
    <t>22;50</t>
  </si>
  <si>
    <t>15;46;51</t>
  </si>
  <si>
    <t>26;52</t>
  </si>
  <si>
    <t>37;53</t>
  </si>
  <si>
    <t>Nyomvonalak
egységhossza</t>
  </si>
  <si>
    <t>[m/1]</t>
  </si>
  <si>
    <t>Vezetékek ellenállásainak kiszámítása</t>
  </si>
  <si>
    <t>A rendszeren belül el lehetne keringetni közel 0,2 [bar] nyomással a szükséges térfogatáramot. Viszont ebben az esetben a hőteljesítmény-eloszlás nem felelne meg az igényeknek.</t>
  </si>
  <si>
    <t>Az adott szakasz hidraulikai ellenállása</t>
  </si>
  <si>
    <r>
      <t>Tervezési térfogatáram melletti, adott szakaszon eső nyomás. (</t>
    </r>
    <r>
      <rPr>
        <b/>
        <sz val="10"/>
        <color rgb="FFFF0000"/>
        <rFont val="Times New Roman CE"/>
        <charset val="238"/>
      </rPr>
      <t>Nincs figyelembevéve a szakaszok kapcsolata</t>
    </r>
    <r>
      <rPr>
        <b/>
        <sz val="10"/>
        <rFont val="Times New Roman CE"/>
        <family val="1"/>
        <charset val="238"/>
      </rPr>
      <t>)</t>
    </r>
  </si>
  <si>
    <t>Adott szakasz fojtás utáni éves összköltsége</t>
  </si>
  <si>
    <r>
      <t>Adott szakasz javasolt csőmérete. 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family val="1"/>
        <charset val="238"/>
      </rPr>
      <t>)</t>
    </r>
  </si>
  <si>
    <r>
      <t xml:space="preserve">Adott szakasz éves összköltsége.  </t>
    </r>
    <r>
      <rPr>
        <b/>
        <sz val="10"/>
        <rFont val="Times New Roman CE"/>
        <charset val="238"/>
      </rPr>
      <t>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charset val="238"/>
      </rPr>
      <t>)</t>
    </r>
  </si>
  <si>
    <t>Gazdasági optimalizáció</t>
  </si>
  <si>
    <t>Módosult nyomásesés az adott szakaszon</t>
  </si>
  <si>
    <t>5</t>
  </si>
  <si>
    <t>3</t>
  </si>
  <si>
    <t>4</t>
  </si>
  <si>
    <t>2</t>
  </si>
  <si>
    <t>13</t>
  </si>
  <si>
    <t>14</t>
  </si>
  <si>
    <t>Szakaszok
…</t>
  </si>
  <si>
    <t>Fojtással módosított nyomásesés, relatív hidraulikai végpontból számolva a szakasz kezdetéig</t>
  </si>
  <si>
    <t xml:space="preserve"> Ezzel a szabályozással már jól működik a rendszer, de a problémában még látok potenciált. Van néhány tényező, aminek a figyelembevételével és másfajta algoritmus használatával bizonyos esetekben elérhető lehet egy alacsonyabb összesített költség.
 Csökkenthető a szükséges nyomásképzés, közvetetten így az éves összköltség a hidraulikai végponthoz tartozó szakasz átmérőjének növelésével. (V18-as HKP-hoz kapcsolódó vezetékpár - ez természetesen lokálisan drágább.)
 Fojtásnál egy bizonyos tűrés (5%) figyelembevételével, már választható kisebb átmérő egy szakaszon (16-os). Ekkora értékeknél ez esélyesen további költségcsökkenéssel jár.
 Egy nagyobb szakasz fojtásánál nem triviális a fojtás elosztása az egymáshoz kapcsolt ágak között. Ezt figyelheti és elvégezheti külön algoritmus.</t>
  </si>
  <si>
    <r>
      <rPr>
        <sz val="11"/>
        <color theme="1"/>
        <rFont val="Calibri"/>
        <family val="2"/>
        <charset val="238"/>
      </rPr>
      <t>Δ</t>
    </r>
    <r>
      <rPr>
        <sz val="11"/>
        <color theme="1"/>
        <rFont val="Calibri"/>
        <family val="2"/>
        <charset val="238"/>
        <scheme val="minor"/>
      </rPr>
      <t>P_0</t>
    </r>
  </si>
  <si>
    <t>V7 = 32</t>
  </si>
  <si>
    <t>V18 = 125</t>
  </si>
  <si>
    <t>V19 = 65</t>
  </si>
  <si>
    <t>8,5 másodperc - 1000 iteráció</t>
  </si>
  <si>
    <t>10^40 év</t>
  </si>
  <si>
    <t>10^50 eset</t>
  </si>
  <si>
    <t>13^45</t>
  </si>
  <si>
    <t>iteráció</t>
  </si>
  <si>
    <t>x8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</si>
</sst>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"/>
    <numFmt numFmtId="166" formatCode="0.0000"/>
    <numFmt numFmtId="167" formatCode="0.000"/>
    <numFmt numFmtId="168" formatCode="0.00000"/>
    <numFmt numFmtId="169" formatCode="0.000000000"/>
  </numFmts>
  <fonts count="1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0"/>
      <name val="Times New Roman CE"/>
      <family val="1"/>
      <charset val="238"/>
    </font>
    <font>
      <b/>
      <sz val="10"/>
      <name val="Times New Roman CE"/>
      <family val="1"/>
      <charset val="238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color rgb="FFFF0000"/>
      <name val="Times New Roman CE"/>
      <charset val="238"/>
    </font>
    <font>
      <b/>
      <sz val="10"/>
      <name val="Times New Roman CE"/>
      <charset val="238"/>
    </font>
    <font>
      <b/>
      <sz val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78BD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49" fontId="0" fillId="0" borderId="0" xfId="0" applyNumberFormat="1"/>
    <xf numFmtId="49" fontId="7" fillId="3" borderId="4" xfId="0" applyNumberFormat="1" applyFont="1" applyFill="1" applyBorder="1"/>
    <xf numFmtId="0" fontId="0" fillId="3" borderId="5" xfId="0" applyFill="1" applyBorder="1"/>
    <xf numFmtId="3" fontId="0" fillId="3" borderId="5" xfId="0" applyNumberFormat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3" fillId="4" borderId="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/>
    </xf>
    <xf numFmtId="49" fontId="11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Border="1"/>
    <xf numFmtId="166" fontId="0" fillId="0" borderId="0" xfId="0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/>
    <xf numFmtId="167" fontId="0" fillId="0" borderId="0" xfId="0" applyNumberFormat="1"/>
    <xf numFmtId="167" fontId="0" fillId="3" borderId="5" xfId="0" applyNumberFormat="1" applyFill="1" applyBorder="1"/>
    <xf numFmtId="0" fontId="0" fillId="5" borderId="3" xfId="0" applyFill="1" applyBorder="1"/>
    <xf numFmtId="167" fontId="0" fillId="5" borderId="3" xfId="0" applyNumberFormat="1" applyFill="1" applyBorder="1"/>
    <xf numFmtId="0" fontId="1" fillId="5" borderId="3" xfId="0" applyFont="1" applyFill="1" applyBorder="1"/>
    <xf numFmtId="2" fontId="0" fillId="5" borderId="3" xfId="0" applyNumberFormat="1" applyFill="1" applyBorder="1"/>
    <xf numFmtId="0" fontId="5" fillId="5" borderId="3" xfId="0" applyFont="1" applyFill="1" applyBorder="1"/>
    <xf numFmtId="11" fontId="0" fillId="5" borderId="3" xfId="0" applyNumberFormat="1" applyFill="1" applyBorder="1"/>
    <xf numFmtId="0" fontId="0" fillId="5" borderId="4" xfId="0" applyFill="1" applyBorder="1"/>
    <xf numFmtId="164" fontId="0" fillId="5" borderId="2" xfId="0" applyNumberFormat="1" applyFill="1" applyBorder="1"/>
    <xf numFmtId="11" fontId="0" fillId="5" borderId="2" xfId="0" applyNumberFormat="1" applyFill="1" applyBorder="1"/>
    <xf numFmtId="0" fontId="1" fillId="5" borderId="6" xfId="0" applyFont="1" applyFill="1" applyBorder="1"/>
    <xf numFmtId="0" fontId="0" fillId="5" borderId="0" xfId="0" applyFill="1"/>
    <xf numFmtId="1" fontId="0" fillId="2" borderId="10" xfId="0" applyNumberFormat="1" applyFill="1" applyBorder="1"/>
    <xf numFmtId="0" fontId="0" fillId="2" borderId="0" xfId="0" applyFill="1" applyBorder="1"/>
    <xf numFmtId="0" fontId="0" fillId="2" borderId="7" xfId="0" applyFill="1" applyBorder="1"/>
    <xf numFmtId="1" fontId="0" fillId="2" borderId="11" xfId="0" applyNumberFormat="1" applyFill="1" applyBorder="1"/>
    <xf numFmtId="0" fontId="0" fillId="2" borderId="13" xfId="0" applyFill="1" applyBorder="1"/>
    <xf numFmtId="0" fontId="0" fillId="2" borderId="8" xfId="0" applyFill="1" applyBorder="1"/>
    <xf numFmtId="0" fontId="0" fillId="5" borderId="9" xfId="0" applyFill="1" applyBorder="1"/>
    <xf numFmtId="0" fontId="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1" fontId="0" fillId="5" borderId="0" xfId="0" applyNumberFormat="1" applyFill="1" applyBorder="1"/>
    <xf numFmtId="1" fontId="0" fillId="5" borderId="12" xfId="0" applyNumberFormat="1" applyFill="1" applyBorder="1"/>
    <xf numFmtId="3" fontId="0" fillId="0" borderId="0" xfId="0" applyNumberFormat="1"/>
    <xf numFmtId="3" fontId="0" fillId="6" borderId="3" xfId="0" applyNumberFormat="1" applyFill="1" applyBorder="1"/>
    <xf numFmtId="0" fontId="11" fillId="7" borderId="12" xfId="0" applyFont="1" applyFill="1" applyBorder="1"/>
    <xf numFmtId="0" fontId="11" fillId="7" borderId="0" xfId="0" applyFont="1" applyFill="1" applyBorder="1"/>
    <xf numFmtId="0" fontId="11" fillId="7" borderId="0" xfId="0" quotePrefix="1" applyFont="1" applyFill="1" applyBorder="1" applyAlignment="1">
      <alignment horizontal="left"/>
    </xf>
    <xf numFmtId="0" fontId="0" fillId="0" borderId="0" xfId="0" applyAlignment="1">
      <alignment horizontal="left" vertical="center" wrapText="1"/>
    </xf>
    <xf numFmtId="165" fontId="0" fillId="3" borderId="6" xfId="0" applyNumberFormat="1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3" borderId="0" xfId="0" applyNumberFormat="1" applyFill="1"/>
    <xf numFmtId="11" fontId="11" fillId="2" borderId="1" xfId="0" quotePrefix="1" applyNumberFormat="1" applyFont="1" applyFill="1" applyBorder="1"/>
    <xf numFmtId="0" fontId="11" fillId="2" borderId="1" xfId="0" quotePrefix="1" applyFont="1" applyFill="1" applyBorder="1"/>
    <xf numFmtId="49" fontId="0" fillId="4" borderId="0" xfId="0" quotePrefix="1" applyNumberFormat="1" applyFill="1"/>
    <xf numFmtId="49" fontId="0" fillId="8" borderId="0" xfId="0" quotePrefix="1" applyNumberFormat="1" applyFill="1"/>
    <xf numFmtId="49" fontId="0" fillId="9" borderId="0" xfId="0" quotePrefix="1" applyNumberFormat="1" applyFill="1"/>
    <xf numFmtId="49" fontId="11" fillId="5" borderId="0" xfId="0" applyNumberFormat="1" applyFont="1" applyFill="1" applyBorder="1" applyAlignment="1">
      <alignment horizontal="right" vertical="center"/>
    </xf>
    <xf numFmtId="49" fontId="0" fillId="5" borderId="0" xfId="0" applyNumberFormat="1" applyFill="1" applyAlignment="1">
      <alignment horizontal="right" vertical="center"/>
    </xf>
    <xf numFmtId="0" fontId="0" fillId="0" borderId="3" xfId="0" applyBorder="1" applyAlignment="1">
      <alignment horizontal="center" vertical="center" wrapText="1"/>
    </xf>
    <xf numFmtId="165" fontId="0" fillId="0" borderId="0" xfId="0" applyNumberFormat="1" applyFill="1"/>
    <xf numFmtId="0" fontId="0" fillId="0" borderId="0" xfId="0" applyFill="1"/>
    <xf numFmtId="0" fontId="3" fillId="4" borderId="4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Fill="1" applyBorder="1" applyAlignment="1"/>
    <xf numFmtId="49" fontId="0" fillId="3" borderId="0" xfId="0" applyNumberFormat="1" applyFill="1" applyAlignment="1">
      <alignment horizontal="right"/>
    </xf>
    <xf numFmtId="0" fontId="0" fillId="0" borderId="0" xfId="0" applyAlignment="1">
      <alignment vertical="center" wrapText="1"/>
    </xf>
    <xf numFmtId="165" fontId="0" fillId="0" borderId="0" xfId="0" applyNumberFormat="1"/>
    <xf numFmtId="166" fontId="0" fillId="3" borderId="0" xfId="0" applyNumberFormat="1" applyFill="1"/>
    <xf numFmtId="0" fontId="0" fillId="0" borderId="4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center"/>
    </xf>
    <xf numFmtId="0" fontId="0" fillId="0" borderId="10" xfId="0" applyBorder="1"/>
    <xf numFmtId="165" fontId="0" fillId="5" borderId="9" xfId="0" applyNumberFormat="1" applyFill="1" applyBorder="1"/>
    <xf numFmtId="165" fontId="0" fillId="5" borderId="10" xfId="0" applyNumberFormat="1" applyFill="1" applyBorder="1"/>
    <xf numFmtId="165" fontId="0" fillId="5" borderId="11" xfId="0" applyNumberFormat="1" applyFill="1" applyBorder="1"/>
    <xf numFmtId="1" fontId="0" fillId="5" borderId="9" xfId="0" applyNumberFormat="1" applyFill="1" applyBorder="1"/>
    <xf numFmtId="1" fontId="0" fillId="5" borderId="10" xfId="0" applyNumberFormat="1" applyFill="1" applyBorder="1"/>
    <xf numFmtId="1" fontId="6" fillId="5" borderId="10" xfId="0" applyNumberFormat="1" applyFont="1" applyFill="1" applyBorder="1" applyAlignment="1">
      <alignment vertical="center"/>
    </xf>
    <xf numFmtId="1" fontId="0" fillId="5" borderId="11" xfId="0" applyNumberFormat="1" applyFill="1" applyBorder="1"/>
    <xf numFmtId="0" fontId="0" fillId="10" borderId="9" xfId="0" applyFill="1" applyBorder="1"/>
    <xf numFmtId="49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/>
    <xf numFmtId="49" fontId="11" fillId="10" borderId="10" xfId="0" applyNumberFormat="1" applyFont="1" applyFill="1" applyBorder="1" applyAlignment="1">
      <alignment horizontal="right" vertical="center"/>
    </xf>
    <xf numFmtId="49" fontId="0" fillId="10" borderId="10" xfId="0" applyNumberFormat="1" applyFill="1" applyBorder="1" applyAlignment="1">
      <alignment horizontal="right" vertical="center"/>
    </xf>
    <xf numFmtId="49" fontId="0" fillId="10" borderId="11" xfId="0" applyNumberFormat="1" applyFill="1" applyBorder="1" applyAlignment="1">
      <alignment horizontal="center" vertical="center"/>
    </xf>
    <xf numFmtId="0" fontId="0" fillId="10" borderId="0" xfId="0" applyFill="1"/>
    <xf numFmtId="1" fontId="0" fillId="5" borderId="1" xfId="0" applyNumberFormat="1" applyFill="1" applyBorder="1"/>
    <xf numFmtId="0" fontId="0" fillId="10" borderId="16" xfId="0" applyFill="1" applyBorder="1"/>
    <xf numFmtId="0" fontId="0" fillId="10" borderId="0" xfId="0" applyFill="1" applyAlignment="1">
      <alignment horizontal="center" vertical="center"/>
    </xf>
    <xf numFmtId="1" fontId="11" fillId="10" borderId="10" xfId="0" applyNumberFormat="1" applyFont="1" applyFill="1" applyBorder="1" applyAlignment="1">
      <alignment horizontal="right" vertical="center"/>
    </xf>
    <xf numFmtId="1" fontId="0" fillId="10" borderId="10" xfId="0" applyNumberFormat="1" applyFill="1" applyBorder="1" applyAlignment="1">
      <alignment horizontal="right" vertical="center"/>
    </xf>
    <xf numFmtId="1" fontId="0" fillId="10" borderId="10" xfId="0" applyNumberFormat="1" applyFill="1" applyBorder="1"/>
    <xf numFmtId="1" fontId="0" fillId="10" borderId="11" xfId="0" applyNumberFormat="1" applyFill="1" applyBorder="1"/>
    <xf numFmtId="166" fontId="0" fillId="0" borderId="0" xfId="0" applyNumberFormat="1" applyFill="1"/>
    <xf numFmtId="2" fontId="0" fillId="0" borderId="0" xfId="0" applyNumberFormat="1"/>
    <xf numFmtId="168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Border="1" applyAlignment="1"/>
    <xf numFmtId="169" fontId="0" fillId="3" borderId="0" xfId="0" applyNumberFormat="1" applyFill="1"/>
    <xf numFmtId="169" fontId="0" fillId="0" borderId="0" xfId="0" applyNumberFormat="1"/>
    <xf numFmtId="0" fontId="0" fillId="11" borderId="0" xfId="0" applyFill="1"/>
    <xf numFmtId="0" fontId="3" fillId="0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C78BD3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11" Type="http://schemas.openxmlformats.org/officeDocument/2006/relationships/image" Target="../media/image1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4</xdr:row>
          <xdr:rowOff>76200</xdr:rowOff>
        </xdr:from>
        <xdr:to>
          <xdr:col>13</xdr:col>
          <xdr:colOff>419100</xdr:colOff>
          <xdr:row>6</xdr:row>
          <xdr:rowOff>104775</xdr:rowOff>
        </xdr:to>
        <xdr:sp macro="" textlink="">
          <xdr:nvSpPr>
            <xdr:cNvPr id="1025" name="ComputePressureLos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4</xdr:row>
          <xdr:rowOff>57150</xdr:rowOff>
        </xdr:from>
        <xdr:to>
          <xdr:col>20</xdr:col>
          <xdr:colOff>1000125</xdr:colOff>
          <xdr:row>6</xdr:row>
          <xdr:rowOff>85725</xdr:rowOff>
        </xdr:to>
        <xdr:sp macro="" textlink="">
          <xdr:nvSpPr>
            <xdr:cNvPr id="1026" name="optimum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1</xdr:row>
          <xdr:rowOff>142875</xdr:rowOff>
        </xdr:from>
        <xdr:to>
          <xdr:col>30</xdr:col>
          <xdr:colOff>1257300</xdr:colOff>
          <xdr:row>4</xdr:row>
          <xdr:rowOff>76200</xdr:rowOff>
        </xdr:to>
        <xdr:sp macro="" textlink="">
          <xdr:nvSpPr>
            <xdr:cNvPr id="1027" name="Inver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4</xdr:row>
          <xdr:rowOff>85725</xdr:rowOff>
        </xdr:from>
        <xdr:to>
          <xdr:col>9</xdr:col>
          <xdr:colOff>838200</xdr:colOff>
          <xdr:row>6</xdr:row>
          <xdr:rowOff>114300</xdr:rowOff>
        </xdr:to>
        <xdr:sp macro="" textlink="">
          <xdr:nvSpPr>
            <xdr:cNvPr id="1028" name="ComputeMandV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4</xdr:row>
          <xdr:rowOff>76200</xdr:rowOff>
        </xdr:from>
        <xdr:to>
          <xdr:col>11</xdr:col>
          <xdr:colOff>666750</xdr:colOff>
          <xdr:row>6</xdr:row>
          <xdr:rowOff>114300</xdr:rowOff>
        </xdr:to>
        <xdr:sp macro="" textlink="">
          <xdr:nvSpPr>
            <xdr:cNvPr id="1030" name="LineLeng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1352550</xdr:colOff>
          <xdr:row>1</xdr:row>
          <xdr:rowOff>85725</xdr:rowOff>
        </xdr:from>
        <xdr:to>
          <xdr:col>34</xdr:col>
          <xdr:colOff>371475</xdr:colOff>
          <xdr:row>3</xdr:row>
          <xdr:rowOff>104775</xdr:rowOff>
        </xdr:to>
        <xdr:sp macro="" textlink="">
          <xdr:nvSpPr>
            <xdr:cNvPr id="1032" name="Chok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104775</xdr:colOff>
          <xdr:row>1</xdr:row>
          <xdr:rowOff>76200</xdr:rowOff>
        </xdr:from>
        <xdr:to>
          <xdr:col>37</xdr:col>
          <xdr:colOff>1343025</xdr:colOff>
          <xdr:row>3</xdr:row>
          <xdr:rowOff>114300</xdr:rowOff>
        </xdr:to>
        <xdr:sp macro="" textlink="">
          <xdr:nvSpPr>
            <xdr:cNvPr id="1033" name="RealCos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314325</xdr:colOff>
          <xdr:row>1</xdr:row>
          <xdr:rowOff>95250</xdr:rowOff>
        </xdr:from>
        <xdr:to>
          <xdr:col>36</xdr:col>
          <xdr:colOff>1114425</xdr:colOff>
          <xdr:row>3</xdr:row>
          <xdr:rowOff>104775</xdr:rowOff>
        </xdr:to>
        <xdr:sp macro="" textlink="">
          <xdr:nvSpPr>
            <xdr:cNvPr id="1034" name="Eco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4</xdr:row>
          <xdr:rowOff>28575</xdr:rowOff>
        </xdr:from>
        <xdr:to>
          <xdr:col>7</xdr:col>
          <xdr:colOff>361950</xdr:colOff>
          <xdr:row>6</xdr:row>
          <xdr:rowOff>57150</xdr:rowOff>
        </xdr:to>
        <xdr:sp macro="" textlink="">
          <xdr:nvSpPr>
            <xdr:cNvPr id="1035" name="ComputeA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1009650</xdr:colOff>
          <xdr:row>56</xdr:row>
          <xdr:rowOff>104775</xdr:rowOff>
        </xdr:from>
        <xdr:to>
          <xdr:col>43</xdr:col>
          <xdr:colOff>1447800</xdr:colOff>
          <xdr:row>58</xdr:row>
          <xdr:rowOff>76200</xdr:rowOff>
        </xdr:to>
        <xdr:sp macro="" textlink="">
          <xdr:nvSpPr>
            <xdr:cNvPr id="1036" name="runAlgorith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2</xdr:row>
          <xdr:rowOff>0</xdr:rowOff>
        </xdr:from>
        <xdr:to>
          <xdr:col>42</xdr:col>
          <xdr:colOff>1352550</xdr:colOff>
          <xdr:row>3</xdr:row>
          <xdr:rowOff>190500</xdr:rowOff>
        </xdr:to>
        <xdr:sp macro="" textlink="">
          <xdr:nvSpPr>
            <xdr:cNvPr id="1037" name="runInitializ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119063</xdr:rowOff>
    </xdr:from>
    <xdr:to>
      <xdr:col>10</xdr:col>
      <xdr:colOff>581026</xdr:colOff>
      <xdr:row>7</xdr:row>
      <xdr:rowOff>90488</xdr:rowOff>
    </xdr:to>
    <xdr:cxnSp macro="">
      <xdr:nvCxnSpPr>
        <xdr:cNvPr id="3" name="Egyenes összekötő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stCxn id="4" idx="3"/>
          <a:endCxn id="123" idx="1"/>
        </xdr:cNvCxnSpPr>
      </xdr:nvCxnSpPr>
      <xdr:spPr>
        <a:xfrm>
          <a:off x="952501" y="500063"/>
          <a:ext cx="5724525" cy="9239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200026</xdr:colOff>
      <xdr:row>8</xdr:row>
      <xdr:rowOff>114300</xdr:rowOff>
    </xdr:from>
    <xdr:to>
      <xdr:col>11</xdr:col>
      <xdr:colOff>214313</xdr:colOff>
      <xdr:row>12</xdr:row>
      <xdr:rowOff>66675</xdr:rowOff>
    </xdr:to>
    <xdr:cxnSp macro="">
      <xdr:nvCxnSpPr>
        <xdr:cNvPr id="5" name="Egyenes összekötő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>
          <a:stCxn id="123" idx="2"/>
          <a:endCxn id="30" idx="0"/>
        </xdr:cNvCxnSpPr>
      </xdr:nvCxnSpPr>
      <xdr:spPr>
        <a:xfrm>
          <a:off x="6905626" y="1638300"/>
          <a:ext cx="14287" cy="714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190501</xdr:colOff>
      <xdr:row>3</xdr:row>
      <xdr:rowOff>114300</xdr:rowOff>
    </xdr:from>
    <xdr:to>
      <xdr:col>11</xdr:col>
      <xdr:colOff>200026</xdr:colOff>
      <xdr:row>6</xdr:row>
      <xdr:rowOff>66675</xdr:rowOff>
    </xdr:to>
    <xdr:cxnSp macro="">
      <xdr:nvCxnSpPr>
        <xdr:cNvPr id="11" name="Egyenes összekötő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10" idx="2"/>
          <a:endCxn id="123" idx="0"/>
        </xdr:cNvCxnSpPr>
      </xdr:nvCxnSpPr>
      <xdr:spPr>
        <a:xfrm>
          <a:off x="6896101" y="685800"/>
          <a:ext cx="9525" cy="5238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285751</xdr:colOff>
      <xdr:row>1</xdr:row>
      <xdr:rowOff>95250</xdr:rowOff>
    </xdr:from>
    <xdr:to>
      <xdr:col>1</xdr:col>
      <xdr:colOff>342901</xdr:colOff>
      <xdr:row>3</xdr:row>
      <xdr:rowOff>142875</xdr:rowOff>
    </xdr:to>
    <xdr:sp macro="" textlink="">
      <xdr:nvSpPr>
        <xdr:cNvPr id="4" name="Szövegdoboz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51" y="285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V18</a:t>
          </a:r>
        </a:p>
      </xdr:txBody>
    </xdr:sp>
    <xdr:clientData/>
  </xdr:twoCellAnchor>
  <xdr:twoCellAnchor>
    <xdr:from>
      <xdr:col>10</xdr:col>
      <xdr:colOff>466726</xdr:colOff>
      <xdr:row>1</xdr:row>
      <xdr:rowOff>66675</xdr:rowOff>
    </xdr:from>
    <xdr:to>
      <xdr:col>11</xdr:col>
      <xdr:colOff>523876</xdr:colOff>
      <xdr:row>3</xdr:row>
      <xdr:rowOff>114300</xdr:rowOff>
    </xdr:to>
    <xdr:sp macro="" textlink="">
      <xdr:nvSpPr>
        <xdr:cNvPr id="10" name="Szövegdoboz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562726" y="2571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V13</a:t>
          </a:r>
        </a:p>
      </xdr:txBody>
    </xdr:sp>
    <xdr:clientData/>
  </xdr:twoCellAnchor>
  <xdr:twoCellAnchor>
    <xdr:from>
      <xdr:col>9</xdr:col>
      <xdr:colOff>266699</xdr:colOff>
      <xdr:row>42</xdr:row>
      <xdr:rowOff>47625</xdr:rowOff>
    </xdr:from>
    <xdr:to>
      <xdr:col>10</xdr:col>
      <xdr:colOff>114300</xdr:colOff>
      <xdr:row>44</xdr:row>
      <xdr:rowOff>95250</xdr:rowOff>
    </xdr:to>
    <xdr:sp macro="" textlink="">
      <xdr:nvSpPr>
        <xdr:cNvPr id="16" name="Szövegdoboz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5753099" y="8048625"/>
          <a:ext cx="45720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V8</a:t>
          </a:r>
        </a:p>
      </xdr:txBody>
    </xdr:sp>
    <xdr:clientData/>
  </xdr:twoCellAnchor>
  <xdr:twoCellAnchor>
    <xdr:from>
      <xdr:col>12</xdr:col>
      <xdr:colOff>590551</xdr:colOff>
      <xdr:row>38</xdr:row>
      <xdr:rowOff>38100</xdr:rowOff>
    </xdr:from>
    <xdr:to>
      <xdr:col>13</xdr:col>
      <xdr:colOff>485775</xdr:colOff>
      <xdr:row>40</xdr:row>
      <xdr:rowOff>85725</xdr:rowOff>
    </xdr:to>
    <xdr:sp macro="" textlink="">
      <xdr:nvSpPr>
        <xdr:cNvPr id="17" name="Szövegdoboz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7905751" y="7277100"/>
          <a:ext cx="5048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</a:t>
          </a:r>
        </a:p>
      </xdr:txBody>
    </xdr:sp>
    <xdr:clientData/>
  </xdr:twoCellAnchor>
  <xdr:twoCellAnchor>
    <xdr:from>
      <xdr:col>11</xdr:col>
      <xdr:colOff>66675</xdr:colOff>
      <xdr:row>38</xdr:row>
      <xdr:rowOff>47625</xdr:rowOff>
    </xdr:from>
    <xdr:to>
      <xdr:col>11</xdr:col>
      <xdr:colOff>419101</xdr:colOff>
      <xdr:row>40</xdr:row>
      <xdr:rowOff>95250</xdr:rowOff>
    </xdr:to>
    <xdr:sp macro="" textlink="">
      <xdr:nvSpPr>
        <xdr:cNvPr id="18" name="Szövegdoboz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772275" y="7286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7</a:t>
          </a:r>
        </a:p>
      </xdr:txBody>
    </xdr:sp>
    <xdr:clientData/>
  </xdr:twoCellAnchor>
  <xdr:twoCellAnchor>
    <xdr:from>
      <xdr:col>7</xdr:col>
      <xdr:colOff>171451</xdr:colOff>
      <xdr:row>28</xdr:row>
      <xdr:rowOff>171450</xdr:rowOff>
    </xdr:from>
    <xdr:to>
      <xdr:col>8</xdr:col>
      <xdr:colOff>38100</xdr:colOff>
      <xdr:row>31</xdr:row>
      <xdr:rowOff>28575</xdr:rowOff>
    </xdr:to>
    <xdr:sp macro="" textlink="">
      <xdr:nvSpPr>
        <xdr:cNvPr id="19" name="Szövegdoboz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4438651" y="550545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V4</a:t>
          </a:r>
        </a:p>
      </xdr:txBody>
    </xdr:sp>
    <xdr:clientData/>
  </xdr:twoCellAnchor>
  <xdr:twoCellAnchor>
    <xdr:from>
      <xdr:col>7</xdr:col>
      <xdr:colOff>161926</xdr:colOff>
      <xdr:row>33</xdr:row>
      <xdr:rowOff>38100</xdr:rowOff>
    </xdr:from>
    <xdr:to>
      <xdr:col>8</xdr:col>
      <xdr:colOff>19050</xdr:colOff>
      <xdr:row>35</xdr:row>
      <xdr:rowOff>85725</xdr:rowOff>
    </xdr:to>
    <xdr:sp macro="" textlink="">
      <xdr:nvSpPr>
        <xdr:cNvPr id="20" name="Szövegdoboz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429126" y="63246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V3</a:t>
          </a:r>
        </a:p>
      </xdr:txBody>
    </xdr:sp>
    <xdr:clientData/>
  </xdr:twoCellAnchor>
  <xdr:twoCellAnchor>
    <xdr:from>
      <xdr:col>9</xdr:col>
      <xdr:colOff>57149</xdr:colOff>
      <xdr:row>30</xdr:row>
      <xdr:rowOff>85725</xdr:rowOff>
    </xdr:from>
    <xdr:to>
      <xdr:col>9</xdr:col>
      <xdr:colOff>571500</xdr:colOff>
      <xdr:row>32</xdr:row>
      <xdr:rowOff>133350</xdr:rowOff>
    </xdr:to>
    <xdr:sp macro="" textlink="">
      <xdr:nvSpPr>
        <xdr:cNvPr id="21" name="Szövegdoboz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543549" y="5800725"/>
          <a:ext cx="51435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16</a:t>
          </a:r>
        </a:p>
      </xdr:txBody>
    </xdr:sp>
    <xdr:clientData/>
  </xdr:twoCellAnchor>
  <xdr:twoCellAnchor>
    <xdr:from>
      <xdr:col>12</xdr:col>
      <xdr:colOff>600076</xdr:colOff>
      <xdr:row>30</xdr:row>
      <xdr:rowOff>114300</xdr:rowOff>
    </xdr:from>
    <xdr:to>
      <xdr:col>14</xdr:col>
      <xdr:colOff>47626</xdr:colOff>
      <xdr:row>32</xdr:row>
      <xdr:rowOff>161925</xdr:rowOff>
    </xdr:to>
    <xdr:sp macro="" textlink="">
      <xdr:nvSpPr>
        <xdr:cNvPr id="22" name="Szövegdoboz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7915276" y="582930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V2</a:t>
          </a:r>
        </a:p>
      </xdr:txBody>
    </xdr:sp>
    <xdr:clientData/>
  </xdr:twoCellAnchor>
  <xdr:twoCellAnchor>
    <xdr:from>
      <xdr:col>11</xdr:col>
      <xdr:colOff>38101</xdr:colOff>
      <xdr:row>30</xdr:row>
      <xdr:rowOff>85725</xdr:rowOff>
    </xdr:from>
    <xdr:to>
      <xdr:col>11</xdr:col>
      <xdr:colOff>438150</xdr:colOff>
      <xdr:row>32</xdr:row>
      <xdr:rowOff>133350</xdr:rowOff>
    </xdr:to>
    <xdr:sp macro="" textlink="">
      <xdr:nvSpPr>
        <xdr:cNvPr id="23" name="Szövegdoboz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6743701" y="5800725"/>
          <a:ext cx="4000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8</a:t>
          </a:r>
        </a:p>
      </xdr:txBody>
    </xdr:sp>
    <xdr:clientData/>
  </xdr:twoCellAnchor>
  <xdr:twoCellAnchor>
    <xdr:from>
      <xdr:col>8</xdr:col>
      <xdr:colOff>542926</xdr:colOff>
      <xdr:row>25</xdr:row>
      <xdr:rowOff>95250</xdr:rowOff>
    </xdr:from>
    <xdr:to>
      <xdr:col>9</xdr:col>
      <xdr:colOff>600076</xdr:colOff>
      <xdr:row>27</xdr:row>
      <xdr:rowOff>142875</xdr:rowOff>
    </xdr:to>
    <xdr:sp macro="" textlink="">
      <xdr:nvSpPr>
        <xdr:cNvPr id="25" name="Szövegdoboz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5419726" y="4857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V16</a:t>
          </a:r>
        </a:p>
      </xdr:txBody>
    </xdr:sp>
    <xdr:clientData/>
  </xdr:twoCellAnchor>
  <xdr:twoCellAnchor>
    <xdr:from>
      <xdr:col>11</xdr:col>
      <xdr:colOff>85725</xdr:colOff>
      <xdr:row>25</xdr:row>
      <xdr:rowOff>95250</xdr:rowOff>
    </xdr:from>
    <xdr:to>
      <xdr:col>11</xdr:col>
      <xdr:colOff>381000</xdr:colOff>
      <xdr:row>27</xdr:row>
      <xdr:rowOff>142875</xdr:rowOff>
    </xdr:to>
    <xdr:sp macro="" textlink="">
      <xdr:nvSpPr>
        <xdr:cNvPr id="26" name="Szövegdoboz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6791325" y="4857750"/>
          <a:ext cx="29527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9</a:t>
          </a:r>
        </a:p>
      </xdr:txBody>
    </xdr:sp>
    <xdr:clientData/>
  </xdr:twoCellAnchor>
  <xdr:twoCellAnchor>
    <xdr:from>
      <xdr:col>10</xdr:col>
      <xdr:colOff>600076</xdr:colOff>
      <xdr:row>21</xdr:row>
      <xdr:rowOff>114300</xdr:rowOff>
    </xdr:from>
    <xdr:to>
      <xdr:col>11</xdr:col>
      <xdr:colOff>466725</xdr:colOff>
      <xdr:row>23</xdr:row>
      <xdr:rowOff>161925</xdr:rowOff>
    </xdr:to>
    <xdr:sp macro="" textlink="">
      <xdr:nvSpPr>
        <xdr:cNvPr id="27" name="Szövegdoboz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6696076" y="411480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10</a:t>
          </a:r>
        </a:p>
      </xdr:txBody>
    </xdr:sp>
    <xdr:clientData/>
  </xdr:twoCellAnchor>
  <xdr:twoCellAnchor>
    <xdr:from>
      <xdr:col>8</xdr:col>
      <xdr:colOff>542926</xdr:colOff>
      <xdr:row>17</xdr:row>
      <xdr:rowOff>28575</xdr:rowOff>
    </xdr:from>
    <xdr:to>
      <xdr:col>9</xdr:col>
      <xdr:colOff>428625</xdr:colOff>
      <xdr:row>19</xdr:row>
      <xdr:rowOff>76200</xdr:rowOff>
    </xdr:to>
    <xdr:sp macro="" textlink="">
      <xdr:nvSpPr>
        <xdr:cNvPr id="28" name="Szövegdoboz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5419726" y="3267075"/>
          <a:ext cx="4952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V6</a:t>
          </a:r>
        </a:p>
      </xdr:txBody>
    </xdr:sp>
    <xdr:clientData/>
  </xdr:twoCellAnchor>
  <xdr:twoCellAnchor>
    <xdr:from>
      <xdr:col>10</xdr:col>
      <xdr:colOff>590551</xdr:colOff>
      <xdr:row>17</xdr:row>
      <xdr:rowOff>28575</xdr:rowOff>
    </xdr:from>
    <xdr:to>
      <xdr:col>11</xdr:col>
      <xdr:colOff>466725</xdr:colOff>
      <xdr:row>19</xdr:row>
      <xdr:rowOff>76200</xdr:rowOff>
    </xdr:to>
    <xdr:sp macro="" textlink="">
      <xdr:nvSpPr>
        <xdr:cNvPr id="29" name="Szövegdoboz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686551" y="3267075"/>
          <a:ext cx="4857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11</a:t>
          </a:r>
        </a:p>
      </xdr:txBody>
    </xdr:sp>
    <xdr:clientData/>
  </xdr:twoCellAnchor>
  <xdr:twoCellAnchor>
    <xdr:from>
      <xdr:col>10</xdr:col>
      <xdr:colOff>600076</xdr:colOff>
      <xdr:row>12</xdr:row>
      <xdr:rowOff>66675</xdr:rowOff>
    </xdr:from>
    <xdr:to>
      <xdr:col>11</xdr:col>
      <xdr:colOff>438150</xdr:colOff>
      <xdr:row>14</xdr:row>
      <xdr:rowOff>114300</xdr:rowOff>
    </xdr:to>
    <xdr:sp macro="" textlink="">
      <xdr:nvSpPr>
        <xdr:cNvPr id="30" name="Szövegdoboz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6696076" y="2352675"/>
          <a:ext cx="4476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12</a:t>
          </a:r>
        </a:p>
      </xdr:txBody>
    </xdr:sp>
    <xdr:clientData/>
  </xdr:twoCellAnchor>
  <xdr:twoCellAnchor>
    <xdr:from>
      <xdr:col>7</xdr:col>
      <xdr:colOff>1</xdr:colOff>
      <xdr:row>10</xdr:row>
      <xdr:rowOff>85725</xdr:rowOff>
    </xdr:from>
    <xdr:to>
      <xdr:col>8</xdr:col>
      <xdr:colOff>57151</xdr:colOff>
      <xdr:row>12</xdr:row>
      <xdr:rowOff>133350</xdr:rowOff>
    </xdr:to>
    <xdr:sp macro="" textlink="">
      <xdr:nvSpPr>
        <xdr:cNvPr id="31" name="Szövegdoboz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267201" y="19907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V17</a:t>
          </a:r>
        </a:p>
      </xdr:txBody>
    </xdr:sp>
    <xdr:clientData/>
  </xdr:twoCellAnchor>
  <xdr:twoCellAnchor>
    <xdr:from>
      <xdr:col>6</xdr:col>
      <xdr:colOff>600076</xdr:colOff>
      <xdr:row>13</xdr:row>
      <xdr:rowOff>114300</xdr:rowOff>
    </xdr:from>
    <xdr:to>
      <xdr:col>7</xdr:col>
      <xdr:colOff>504825</xdr:colOff>
      <xdr:row>15</xdr:row>
      <xdr:rowOff>161925</xdr:rowOff>
    </xdr:to>
    <xdr:sp macro="" textlink="">
      <xdr:nvSpPr>
        <xdr:cNvPr id="32" name="Szövegdoboz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4257676" y="2590800"/>
          <a:ext cx="5143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V5</a:t>
          </a:r>
        </a:p>
      </xdr:txBody>
    </xdr:sp>
    <xdr:clientData/>
  </xdr:twoCellAnchor>
  <xdr:twoCellAnchor>
    <xdr:from>
      <xdr:col>7</xdr:col>
      <xdr:colOff>504825</xdr:colOff>
      <xdr:row>13</xdr:row>
      <xdr:rowOff>90488</xdr:rowOff>
    </xdr:from>
    <xdr:to>
      <xdr:col>9</xdr:col>
      <xdr:colOff>47626</xdr:colOff>
      <xdr:row>14</xdr:row>
      <xdr:rowOff>138113</xdr:rowOff>
    </xdr:to>
    <xdr:cxnSp macro="">
      <xdr:nvCxnSpPr>
        <xdr:cNvPr id="33" name="Egyenes összekötő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>
          <a:stCxn id="32" idx="3"/>
          <a:endCxn id="212" idx="1"/>
        </xdr:cNvCxnSpPr>
      </xdr:nvCxnSpPr>
      <xdr:spPr>
        <a:xfrm flipV="1">
          <a:off x="4772025" y="2566988"/>
          <a:ext cx="762001" cy="2381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57151</xdr:colOff>
      <xdr:row>11</xdr:row>
      <xdr:rowOff>109538</xdr:rowOff>
    </xdr:from>
    <xdr:to>
      <xdr:col>9</xdr:col>
      <xdr:colOff>47626</xdr:colOff>
      <xdr:row>13</xdr:row>
      <xdr:rowOff>90488</xdr:rowOff>
    </xdr:to>
    <xdr:cxnSp macro="">
      <xdr:nvCxnSpPr>
        <xdr:cNvPr id="34" name="Egyenes összekötő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>
          <a:stCxn id="31" idx="3"/>
          <a:endCxn id="212" idx="1"/>
        </xdr:cNvCxnSpPr>
      </xdr:nvCxnSpPr>
      <xdr:spPr>
        <a:xfrm>
          <a:off x="4933951" y="2205038"/>
          <a:ext cx="600075" cy="3619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214313</xdr:colOff>
      <xdr:row>14</xdr:row>
      <xdr:rowOff>114300</xdr:rowOff>
    </xdr:from>
    <xdr:to>
      <xdr:col>11</xdr:col>
      <xdr:colOff>223838</xdr:colOff>
      <xdr:row>17</xdr:row>
      <xdr:rowOff>28575</xdr:rowOff>
    </xdr:to>
    <xdr:cxnSp macro="">
      <xdr:nvCxnSpPr>
        <xdr:cNvPr id="35" name="Egyenes összekötő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>
          <a:stCxn id="30" idx="2"/>
          <a:endCxn id="29" idx="0"/>
        </xdr:cNvCxnSpPr>
      </xdr:nvCxnSpPr>
      <xdr:spPr>
        <a:xfrm>
          <a:off x="6919913" y="2781300"/>
          <a:ext cx="9525" cy="4857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600076</xdr:colOff>
      <xdr:row>26</xdr:row>
      <xdr:rowOff>119063</xdr:rowOff>
    </xdr:from>
    <xdr:to>
      <xdr:col>11</xdr:col>
      <xdr:colOff>85725</xdr:colOff>
      <xdr:row>26</xdr:row>
      <xdr:rowOff>119063</xdr:rowOff>
    </xdr:to>
    <xdr:cxnSp macro="">
      <xdr:nvCxnSpPr>
        <xdr:cNvPr id="37" name="Egyenes összekötő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>
          <a:stCxn id="26" idx="1"/>
          <a:endCxn id="25" idx="3"/>
        </xdr:cNvCxnSpPr>
      </xdr:nvCxnSpPr>
      <xdr:spPr>
        <a:xfrm flipH="1">
          <a:off x="6086476" y="5072063"/>
          <a:ext cx="704849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228601</xdr:colOff>
      <xdr:row>23</xdr:row>
      <xdr:rowOff>161925</xdr:rowOff>
    </xdr:from>
    <xdr:to>
      <xdr:col>11</xdr:col>
      <xdr:colOff>233363</xdr:colOff>
      <xdr:row>25</xdr:row>
      <xdr:rowOff>95250</xdr:rowOff>
    </xdr:to>
    <xdr:cxnSp macro="">
      <xdr:nvCxnSpPr>
        <xdr:cNvPr id="38" name="Egyenes összekötő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>
          <a:stCxn id="27" idx="2"/>
          <a:endCxn id="26" idx="0"/>
        </xdr:cNvCxnSpPr>
      </xdr:nvCxnSpPr>
      <xdr:spPr>
        <a:xfrm>
          <a:off x="6934201" y="4543425"/>
          <a:ext cx="4762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223838</xdr:colOff>
      <xdr:row>19</xdr:row>
      <xdr:rowOff>76200</xdr:rowOff>
    </xdr:from>
    <xdr:to>
      <xdr:col>11</xdr:col>
      <xdr:colOff>228601</xdr:colOff>
      <xdr:row>21</xdr:row>
      <xdr:rowOff>114300</xdr:rowOff>
    </xdr:to>
    <xdr:cxnSp macro="">
      <xdr:nvCxnSpPr>
        <xdr:cNvPr id="39" name="Egyenes összekötő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>
          <a:stCxn id="29" idx="2"/>
          <a:endCxn id="27" idx="0"/>
        </xdr:cNvCxnSpPr>
      </xdr:nvCxnSpPr>
      <xdr:spPr>
        <a:xfrm>
          <a:off x="6929438" y="3695700"/>
          <a:ext cx="4763" cy="4191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18</xdr:row>
      <xdr:rowOff>52388</xdr:rowOff>
    </xdr:from>
    <xdr:to>
      <xdr:col>10</xdr:col>
      <xdr:colOff>590551</xdr:colOff>
      <xdr:row>18</xdr:row>
      <xdr:rowOff>52388</xdr:rowOff>
    </xdr:to>
    <xdr:cxnSp macro="">
      <xdr:nvCxnSpPr>
        <xdr:cNvPr id="40" name="Egyenes összekötő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>
          <a:stCxn id="29" idx="1"/>
          <a:endCxn id="28" idx="3"/>
        </xdr:cNvCxnSpPr>
      </xdr:nvCxnSpPr>
      <xdr:spPr>
        <a:xfrm flipH="1">
          <a:off x="5915025" y="3481388"/>
          <a:ext cx="771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133351</xdr:colOff>
      <xdr:row>40</xdr:row>
      <xdr:rowOff>133350</xdr:rowOff>
    </xdr:from>
    <xdr:to>
      <xdr:col>2</xdr:col>
      <xdr:colOff>138113</xdr:colOff>
      <xdr:row>42</xdr:row>
      <xdr:rowOff>47625</xdr:rowOff>
    </xdr:to>
    <xdr:cxnSp macro="">
      <xdr:nvCxnSpPr>
        <xdr:cNvPr id="60" name="Egyenes összekötő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>
          <a:stCxn id="124" idx="2"/>
          <a:endCxn id="117" idx="0"/>
        </xdr:cNvCxnSpPr>
      </xdr:nvCxnSpPr>
      <xdr:spPr>
        <a:xfrm>
          <a:off x="1352551" y="7753350"/>
          <a:ext cx="4762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66676</xdr:colOff>
      <xdr:row>40</xdr:row>
      <xdr:rowOff>123825</xdr:rowOff>
    </xdr:from>
    <xdr:to>
      <xdr:col>4</xdr:col>
      <xdr:colOff>66676</xdr:colOff>
      <xdr:row>42</xdr:row>
      <xdr:rowOff>57150</xdr:rowOff>
    </xdr:to>
    <xdr:cxnSp macro="">
      <xdr:nvCxnSpPr>
        <xdr:cNvPr id="61" name="Egyenes összekötő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>
          <a:stCxn id="125" idx="2"/>
          <a:endCxn id="118" idx="0"/>
        </xdr:cNvCxnSpPr>
      </xdr:nvCxnSpPr>
      <xdr:spPr>
        <a:xfrm>
          <a:off x="2505076" y="7743825"/>
          <a:ext cx="0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585788</xdr:colOff>
      <xdr:row>40</xdr:row>
      <xdr:rowOff>123825</xdr:rowOff>
    </xdr:from>
    <xdr:to>
      <xdr:col>5</xdr:col>
      <xdr:colOff>590551</xdr:colOff>
      <xdr:row>42</xdr:row>
      <xdr:rowOff>38100</xdr:rowOff>
    </xdr:to>
    <xdr:cxnSp macro="">
      <xdr:nvCxnSpPr>
        <xdr:cNvPr id="62" name="Egyenes összekötő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>
          <a:stCxn id="126" idx="2"/>
          <a:endCxn id="119" idx="0"/>
        </xdr:cNvCxnSpPr>
      </xdr:nvCxnSpPr>
      <xdr:spPr>
        <a:xfrm>
          <a:off x="3633788" y="7743825"/>
          <a:ext cx="4763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504826</xdr:colOff>
      <xdr:row>40</xdr:row>
      <xdr:rowOff>114300</xdr:rowOff>
    </xdr:from>
    <xdr:to>
      <xdr:col>7</xdr:col>
      <xdr:colOff>509588</xdr:colOff>
      <xdr:row>42</xdr:row>
      <xdr:rowOff>76200</xdr:rowOff>
    </xdr:to>
    <xdr:cxnSp macro="">
      <xdr:nvCxnSpPr>
        <xdr:cNvPr id="63" name="Egyenes összekötő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>
          <a:stCxn id="127" idx="2"/>
          <a:endCxn id="120" idx="0"/>
        </xdr:cNvCxnSpPr>
      </xdr:nvCxnSpPr>
      <xdr:spPr>
        <a:xfrm>
          <a:off x="4772026" y="7734300"/>
          <a:ext cx="4762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481014</xdr:colOff>
      <xdr:row>40</xdr:row>
      <xdr:rowOff>104775</xdr:rowOff>
    </xdr:from>
    <xdr:to>
      <xdr:col>9</xdr:col>
      <xdr:colOff>495300</xdr:colOff>
      <xdr:row>42</xdr:row>
      <xdr:rowOff>47625</xdr:rowOff>
    </xdr:to>
    <xdr:cxnSp macro="">
      <xdr:nvCxnSpPr>
        <xdr:cNvPr id="64" name="Egyenes összekötő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stCxn id="115" idx="2"/>
          <a:endCxn id="16" idx="0"/>
        </xdr:cNvCxnSpPr>
      </xdr:nvCxnSpPr>
      <xdr:spPr>
        <a:xfrm>
          <a:off x="5967414" y="7724775"/>
          <a:ext cx="14286" cy="3238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104776</xdr:colOff>
      <xdr:row>39</xdr:row>
      <xdr:rowOff>71438</xdr:rowOff>
    </xdr:from>
    <xdr:to>
      <xdr:col>11</xdr:col>
      <xdr:colOff>66675</xdr:colOff>
      <xdr:row>39</xdr:row>
      <xdr:rowOff>80963</xdr:rowOff>
    </xdr:to>
    <xdr:cxnSp macro="">
      <xdr:nvCxnSpPr>
        <xdr:cNvPr id="65" name="Egyenes összekötő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>
          <a:stCxn id="115" idx="3"/>
          <a:endCxn id="18" idx="1"/>
        </xdr:cNvCxnSpPr>
      </xdr:nvCxnSpPr>
      <xdr:spPr>
        <a:xfrm flipV="1">
          <a:off x="6200776" y="7500938"/>
          <a:ext cx="571499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419101</xdr:colOff>
      <xdr:row>39</xdr:row>
      <xdr:rowOff>61913</xdr:rowOff>
    </xdr:from>
    <xdr:to>
      <xdr:col>12</xdr:col>
      <xdr:colOff>590551</xdr:colOff>
      <xdr:row>39</xdr:row>
      <xdr:rowOff>71438</xdr:rowOff>
    </xdr:to>
    <xdr:cxnSp macro="">
      <xdr:nvCxnSpPr>
        <xdr:cNvPr id="66" name="Egyenes összekötő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>
          <a:stCxn id="18" idx="3"/>
          <a:endCxn id="17" idx="1"/>
        </xdr:cNvCxnSpPr>
      </xdr:nvCxnSpPr>
      <xdr:spPr>
        <a:xfrm flipV="1">
          <a:off x="7124701" y="749141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32</xdr:row>
      <xdr:rowOff>133350</xdr:rowOff>
    </xdr:from>
    <xdr:to>
      <xdr:col>11</xdr:col>
      <xdr:colOff>242888</xdr:colOff>
      <xdr:row>38</xdr:row>
      <xdr:rowOff>47625</xdr:rowOff>
    </xdr:to>
    <xdr:cxnSp macro="">
      <xdr:nvCxnSpPr>
        <xdr:cNvPr id="67" name="Egyenes összekötő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>
          <a:stCxn id="23" idx="2"/>
          <a:endCxn id="18" idx="0"/>
        </xdr:cNvCxnSpPr>
      </xdr:nvCxnSpPr>
      <xdr:spPr>
        <a:xfrm>
          <a:off x="6943726" y="6229350"/>
          <a:ext cx="4762" cy="1057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30</xdr:row>
      <xdr:rowOff>4763</xdr:rowOff>
    </xdr:from>
    <xdr:to>
      <xdr:col>9</xdr:col>
      <xdr:colOff>57149</xdr:colOff>
      <xdr:row>31</xdr:row>
      <xdr:rowOff>109538</xdr:rowOff>
    </xdr:to>
    <xdr:cxnSp macro="">
      <xdr:nvCxnSpPr>
        <xdr:cNvPr id="68" name="Egyenes összekötő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stCxn id="19" idx="3"/>
          <a:endCxn id="21" idx="1"/>
        </xdr:cNvCxnSpPr>
      </xdr:nvCxnSpPr>
      <xdr:spPr>
        <a:xfrm>
          <a:off x="4914900" y="5719763"/>
          <a:ext cx="628649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395288</xdr:colOff>
      <xdr:row>31</xdr:row>
      <xdr:rowOff>109538</xdr:rowOff>
    </xdr:from>
    <xdr:to>
      <xdr:col>9</xdr:col>
      <xdr:colOff>57149</xdr:colOff>
      <xdr:row>33</xdr:row>
      <xdr:rowOff>38100</xdr:rowOff>
    </xdr:to>
    <xdr:cxnSp macro="">
      <xdr:nvCxnSpPr>
        <xdr:cNvPr id="69" name="Egyenes összekötő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21" idx="1"/>
          <a:endCxn id="20" idx="0"/>
        </xdr:cNvCxnSpPr>
      </xdr:nvCxnSpPr>
      <xdr:spPr>
        <a:xfrm flipH="1">
          <a:off x="4662488" y="6015038"/>
          <a:ext cx="881061" cy="309562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31</xdr:row>
      <xdr:rowOff>109538</xdr:rowOff>
    </xdr:from>
    <xdr:to>
      <xdr:col>11</xdr:col>
      <xdr:colOff>38101</xdr:colOff>
      <xdr:row>31</xdr:row>
      <xdr:rowOff>109538</xdr:rowOff>
    </xdr:to>
    <xdr:cxnSp macro="">
      <xdr:nvCxnSpPr>
        <xdr:cNvPr id="70" name="Egyenes összekötő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>
          <a:stCxn id="21" idx="3"/>
          <a:endCxn id="23" idx="1"/>
        </xdr:cNvCxnSpPr>
      </xdr:nvCxnSpPr>
      <xdr:spPr>
        <a:xfrm>
          <a:off x="6057900" y="6015038"/>
          <a:ext cx="68580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31</xdr:row>
      <xdr:rowOff>109538</xdr:rowOff>
    </xdr:from>
    <xdr:to>
      <xdr:col>12</xdr:col>
      <xdr:colOff>600076</xdr:colOff>
      <xdr:row>31</xdr:row>
      <xdr:rowOff>138113</xdr:rowOff>
    </xdr:to>
    <xdr:cxnSp macro="">
      <xdr:nvCxnSpPr>
        <xdr:cNvPr id="71" name="Egyenes összekötő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>
          <a:stCxn id="22" idx="1"/>
          <a:endCxn id="23" idx="3"/>
        </xdr:cNvCxnSpPr>
      </xdr:nvCxnSpPr>
      <xdr:spPr>
        <a:xfrm flipH="1" flipV="1">
          <a:off x="7143750" y="6015038"/>
          <a:ext cx="771526" cy="285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233363</xdr:colOff>
      <xdr:row>27</xdr:row>
      <xdr:rowOff>142875</xdr:rowOff>
    </xdr:from>
    <xdr:to>
      <xdr:col>11</xdr:col>
      <xdr:colOff>238126</xdr:colOff>
      <xdr:row>30</xdr:row>
      <xdr:rowOff>85725</xdr:rowOff>
    </xdr:to>
    <xdr:cxnSp macro="">
      <xdr:nvCxnSpPr>
        <xdr:cNvPr id="72" name="Egyenes összekötő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>
          <a:stCxn id="26" idx="2"/>
          <a:endCxn id="23" idx="0"/>
        </xdr:cNvCxnSpPr>
      </xdr:nvCxnSpPr>
      <xdr:spPr>
        <a:xfrm>
          <a:off x="6938963" y="5286375"/>
          <a:ext cx="4763" cy="5143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447675</xdr:colOff>
      <xdr:row>22</xdr:row>
      <xdr:rowOff>119063</xdr:rowOff>
    </xdr:from>
    <xdr:to>
      <xdr:col>10</xdr:col>
      <xdr:colOff>600076</xdr:colOff>
      <xdr:row>22</xdr:row>
      <xdr:rowOff>138113</xdr:rowOff>
    </xdr:to>
    <xdr:cxnSp macro="">
      <xdr:nvCxnSpPr>
        <xdr:cNvPr id="73" name="Egyenes összekötő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>
          <a:stCxn id="187" idx="3"/>
          <a:endCxn id="27" idx="1"/>
        </xdr:cNvCxnSpPr>
      </xdr:nvCxnSpPr>
      <xdr:spPr>
        <a:xfrm>
          <a:off x="5324475" y="4310063"/>
          <a:ext cx="1371601" cy="19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247652</xdr:colOff>
      <xdr:row>38</xdr:row>
      <xdr:rowOff>57150</xdr:rowOff>
    </xdr:from>
    <xdr:to>
      <xdr:col>10</xdr:col>
      <xdr:colOff>104776</xdr:colOff>
      <xdr:row>40</xdr:row>
      <xdr:rowOff>104775</xdr:rowOff>
    </xdr:to>
    <xdr:sp macro="" textlink="">
      <xdr:nvSpPr>
        <xdr:cNvPr id="115" name="Szövegdoboz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/>
      </xdr:nvSpPr>
      <xdr:spPr>
        <a:xfrm>
          <a:off x="5734052" y="72961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17</a:t>
          </a:r>
        </a:p>
      </xdr:txBody>
    </xdr:sp>
    <xdr:clientData/>
  </xdr:twoCellAnchor>
  <xdr:twoCellAnchor>
    <xdr:from>
      <xdr:col>0</xdr:col>
      <xdr:colOff>123826</xdr:colOff>
      <xdr:row>38</xdr:row>
      <xdr:rowOff>85725</xdr:rowOff>
    </xdr:from>
    <xdr:to>
      <xdr:col>1</xdr:col>
      <xdr:colOff>114300</xdr:colOff>
      <xdr:row>40</xdr:row>
      <xdr:rowOff>133350</xdr:rowOff>
    </xdr:to>
    <xdr:sp macro="" textlink="">
      <xdr:nvSpPr>
        <xdr:cNvPr id="116" name="Szövegdoboz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123826" y="7324725"/>
          <a:ext cx="6000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V15</a:t>
          </a:r>
        </a:p>
      </xdr:txBody>
    </xdr:sp>
    <xdr:clientData/>
  </xdr:twoCellAnchor>
  <xdr:twoCellAnchor>
    <xdr:from>
      <xdr:col>1</xdr:col>
      <xdr:colOff>438151</xdr:colOff>
      <xdr:row>42</xdr:row>
      <xdr:rowOff>47625</xdr:rowOff>
    </xdr:from>
    <xdr:to>
      <xdr:col>2</xdr:col>
      <xdr:colOff>447675</xdr:colOff>
      <xdr:row>44</xdr:row>
      <xdr:rowOff>95250</xdr:rowOff>
    </xdr:to>
    <xdr:sp macro="" textlink="">
      <xdr:nvSpPr>
        <xdr:cNvPr id="117" name="Szövegdoboz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1047751" y="8048625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V14</a:t>
          </a:r>
        </a:p>
      </xdr:txBody>
    </xdr:sp>
    <xdr:clientData/>
  </xdr:twoCellAnchor>
  <xdr:twoCellAnchor>
    <xdr:from>
      <xdr:col>3</xdr:col>
      <xdr:colOff>381001</xdr:colOff>
      <xdr:row>42</xdr:row>
      <xdr:rowOff>57150</xdr:rowOff>
    </xdr:from>
    <xdr:to>
      <xdr:col>4</xdr:col>
      <xdr:colOff>361950</xdr:colOff>
      <xdr:row>44</xdr:row>
      <xdr:rowOff>104775</xdr:rowOff>
    </xdr:to>
    <xdr:sp macro="" textlink="">
      <xdr:nvSpPr>
        <xdr:cNvPr id="118" name="Szövegdoboz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/>
      </xdr:nvSpPr>
      <xdr:spPr>
        <a:xfrm>
          <a:off x="2209801" y="8058150"/>
          <a:ext cx="5905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V11</a:t>
          </a:r>
        </a:p>
      </xdr:txBody>
    </xdr:sp>
    <xdr:clientData/>
  </xdr:twoCellAnchor>
  <xdr:twoCellAnchor>
    <xdr:from>
      <xdr:col>5</xdr:col>
      <xdr:colOff>276226</xdr:colOff>
      <xdr:row>42</xdr:row>
      <xdr:rowOff>38100</xdr:rowOff>
    </xdr:from>
    <xdr:to>
      <xdr:col>6</xdr:col>
      <xdr:colOff>295275</xdr:colOff>
      <xdr:row>44</xdr:row>
      <xdr:rowOff>85725</xdr:rowOff>
    </xdr:to>
    <xdr:sp macro="" textlink="">
      <xdr:nvSpPr>
        <xdr:cNvPr id="119" name="Szövegdoboz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/>
      </xdr:nvSpPr>
      <xdr:spPr>
        <a:xfrm>
          <a:off x="3324226" y="8039100"/>
          <a:ext cx="6286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V10</a:t>
          </a:r>
        </a:p>
      </xdr:txBody>
    </xdr:sp>
    <xdr:clientData/>
  </xdr:twoCellAnchor>
  <xdr:twoCellAnchor>
    <xdr:from>
      <xdr:col>7</xdr:col>
      <xdr:colOff>276226</xdr:colOff>
      <xdr:row>42</xdr:row>
      <xdr:rowOff>76200</xdr:rowOff>
    </xdr:from>
    <xdr:to>
      <xdr:col>8</xdr:col>
      <xdr:colOff>133350</xdr:colOff>
      <xdr:row>44</xdr:row>
      <xdr:rowOff>123825</xdr:rowOff>
    </xdr:to>
    <xdr:sp macro="" textlink="">
      <xdr:nvSpPr>
        <xdr:cNvPr id="120" name="Szövegdoboz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 txBox="1"/>
      </xdr:nvSpPr>
      <xdr:spPr>
        <a:xfrm>
          <a:off x="4543426" y="8077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V9</a:t>
          </a:r>
        </a:p>
      </xdr:txBody>
    </xdr:sp>
    <xdr:clientData/>
  </xdr:twoCellAnchor>
  <xdr:twoCellAnchor>
    <xdr:from>
      <xdr:col>10</xdr:col>
      <xdr:colOff>581026</xdr:colOff>
      <xdr:row>6</xdr:row>
      <xdr:rowOff>66675</xdr:rowOff>
    </xdr:from>
    <xdr:to>
      <xdr:col>11</xdr:col>
      <xdr:colOff>428625</xdr:colOff>
      <xdr:row>8</xdr:row>
      <xdr:rowOff>114300</xdr:rowOff>
    </xdr:to>
    <xdr:sp macro="" textlink="">
      <xdr:nvSpPr>
        <xdr:cNvPr id="123" name="Szövegdoboz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 txBox="1"/>
      </xdr:nvSpPr>
      <xdr:spPr>
        <a:xfrm>
          <a:off x="6677026" y="1209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13</a:t>
          </a:r>
        </a:p>
      </xdr:txBody>
    </xdr:sp>
    <xdr:clientData/>
  </xdr:twoCellAnchor>
  <xdr:twoCellAnchor>
    <xdr:from>
      <xdr:col>1</xdr:col>
      <xdr:colOff>504826</xdr:colOff>
      <xdr:row>38</xdr:row>
      <xdr:rowOff>85725</xdr:rowOff>
    </xdr:from>
    <xdr:to>
      <xdr:col>2</xdr:col>
      <xdr:colOff>371475</xdr:colOff>
      <xdr:row>40</xdr:row>
      <xdr:rowOff>133350</xdr:rowOff>
    </xdr:to>
    <xdr:sp macro="" textlink="">
      <xdr:nvSpPr>
        <xdr:cNvPr id="124" name="Szövegdoboz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/>
      </xdr:nvSpPr>
      <xdr:spPr>
        <a:xfrm>
          <a:off x="1114426" y="732472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21</a:t>
          </a:r>
        </a:p>
      </xdr:txBody>
    </xdr:sp>
    <xdr:clientData/>
  </xdr:twoCellAnchor>
  <xdr:twoCellAnchor>
    <xdr:from>
      <xdr:col>3</xdr:col>
      <xdr:colOff>447676</xdr:colOff>
      <xdr:row>38</xdr:row>
      <xdr:rowOff>76200</xdr:rowOff>
    </xdr:from>
    <xdr:to>
      <xdr:col>4</xdr:col>
      <xdr:colOff>295275</xdr:colOff>
      <xdr:row>40</xdr:row>
      <xdr:rowOff>123825</xdr:rowOff>
    </xdr:to>
    <xdr:sp macro="" textlink="">
      <xdr:nvSpPr>
        <xdr:cNvPr id="125" name="Szövegdoboz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/>
      </xdr:nvSpPr>
      <xdr:spPr>
        <a:xfrm>
          <a:off x="2276476" y="73152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20</a:t>
          </a:r>
        </a:p>
      </xdr:txBody>
    </xdr:sp>
    <xdr:clientData/>
  </xdr:twoCellAnchor>
  <xdr:twoCellAnchor>
    <xdr:from>
      <xdr:col>5</xdr:col>
      <xdr:colOff>352426</xdr:colOff>
      <xdr:row>38</xdr:row>
      <xdr:rowOff>76200</xdr:rowOff>
    </xdr:from>
    <xdr:to>
      <xdr:col>6</xdr:col>
      <xdr:colOff>209550</xdr:colOff>
      <xdr:row>40</xdr:row>
      <xdr:rowOff>123825</xdr:rowOff>
    </xdr:to>
    <xdr:sp macro="" textlink="">
      <xdr:nvSpPr>
        <xdr:cNvPr id="126" name="Szövegdoboz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3400426" y="7315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19</a:t>
          </a:r>
        </a:p>
      </xdr:txBody>
    </xdr:sp>
    <xdr:clientData/>
  </xdr:twoCellAnchor>
  <xdr:twoCellAnchor>
    <xdr:from>
      <xdr:col>7</xdr:col>
      <xdr:colOff>266701</xdr:colOff>
      <xdr:row>38</xdr:row>
      <xdr:rowOff>66675</xdr:rowOff>
    </xdr:from>
    <xdr:to>
      <xdr:col>8</xdr:col>
      <xdr:colOff>133350</xdr:colOff>
      <xdr:row>40</xdr:row>
      <xdr:rowOff>114300</xdr:rowOff>
    </xdr:to>
    <xdr:sp macro="" textlink="">
      <xdr:nvSpPr>
        <xdr:cNvPr id="127" name="Szövegdoboz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4533901" y="730567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18</a:t>
          </a:r>
        </a:p>
      </xdr:txBody>
    </xdr:sp>
    <xdr:clientData/>
  </xdr:twoCellAnchor>
  <xdr:twoCellAnchor>
    <xdr:from>
      <xdr:col>8</xdr:col>
      <xdr:colOff>133350</xdr:colOff>
      <xdr:row>39</xdr:row>
      <xdr:rowOff>80963</xdr:rowOff>
    </xdr:from>
    <xdr:to>
      <xdr:col>9</xdr:col>
      <xdr:colOff>247652</xdr:colOff>
      <xdr:row>39</xdr:row>
      <xdr:rowOff>90488</xdr:rowOff>
    </xdr:to>
    <xdr:cxnSp macro="">
      <xdr:nvCxnSpPr>
        <xdr:cNvPr id="141" name="Egyenes összekötő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>
          <a:stCxn id="127" idx="3"/>
          <a:endCxn id="115" idx="1"/>
        </xdr:cNvCxnSpPr>
      </xdr:nvCxnSpPr>
      <xdr:spPr>
        <a:xfrm flipV="1">
          <a:off x="5010150" y="7510463"/>
          <a:ext cx="723902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209550</xdr:colOff>
      <xdr:row>39</xdr:row>
      <xdr:rowOff>90488</xdr:rowOff>
    </xdr:from>
    <xdr:to>
      <xdr:col>7</xdr:col>
      <xdr:colOff>266701</xdr:colOff>
      <xdr:row>39</xdr:row>
      <xdr:rowOff>100013</xdr:rowOff>
    </xdr:to>
    <xdr:cxnSp macro="">
      <xdr:nvCxnSpPr>
        <xdr:cNvPr id="142" name="Egyenes összekötő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CxnSpPr>
          <a:stCxn id="126" idx="3"/>
          <a:endCxn id="127" idx="1"/>
        </xdr:cNvCxnSpPr>
      </xdr:nvCxnSpPr>
      <xdr:spPr>
        <a:xfrm flipV="1">
          <a:off x="3867150" y="7519988"/>
          <a:ext cx="66675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39</xdr:row>
      <xdr:rowOff>100013</xdr:rowOff>
    </xdr:from>
    <xdr:to>
      <xdr:col>5</xdr:col>
      <xdr:colOff>352426</xdr:colOff>
      <xdr:row>39</xdr:row>
      <xdr:rowOff>100013</xdr:rowOff>
    </xdr:to>
    <xdr:cxnSp macro="">
      <xdr:nvCxnSpPr>
        <xdr:cNvPr id="143" name="Egyenes összekötő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CxnSpPr>
          <a:stCxn id="125" idx="3"/>
          <a:endCxn id="126" idx="1"/>
        </xdr:cNvCxnSpPr>
      </xdr:nvCxnSpPr>
      <xdr:spPr>
        <a:xfrm>
          <a:off x="2733675" y="7529513"/>
          <a:ext cx="6667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371475</xdr:colOff>
      <xdr:row>39</xdr:row>
      <xdr:rowOff>100013</xdr:rowOff>
    </xdr:from>
    <xdr:to>
      <xdr:col>3</xdr:col>
      <xdr:colOff>447676</xdr:colOff>
      <xdr:row>39</xdr:row>
      <xdr:rowOff>109538</xdr:rowOff>
    </xdr:to>
    <xdr:cxnSp macro="">
      <xdr:nvCxnSpPr>
        <xdr:cNvPr id="144" name="Egyenes összekötő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>
          <a:stCxn id="124" idx="3"/>
          <a:endCxn id="125" idx="1"/>
        </xdr:cNvCxnSpPr>
      </xdr:nvCxnSpPr>
      <xdr:spPr>
        <a:xfrm flipV="1">
          <a:off x="1590675" y="7529513"/>
          <a:ext cx="68580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114300</xdr:colOff>
      <xdr:row>39</xdr:row>
      <xdr:rowOff>109538</xdr:rowOff>
    </xdr:from>
    <xdr:to>
      <xdr:col>1</xdr:col>
      <xdr:colOff>504826</xdr:colOff>
      <xdr:row>39</xdr:row>
      <xdr:rowOff>109538</xdr:rowOff>
    </xdr:to>
    <xdr:cxnSp macro="">
      <xdr:nvCxnSpPr>
        <xdr:cNvPr id="145" name="Egyenes összekötő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>
          <a:stCxn id="116" idx="3"/>
          <a:endCxn id="124" idx="1"/>
        </xdr:cNvCxnSpPr>
      </xdr:nvCxnSpPr>
      <xdr:spPr>
        <a:xfrm>
          <a:off x="723900" y="7539038"/>
          <a:ext cx="390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40</xdr:row>
      <xdr:rowOff>95250</xdr:rowOff>
    </xdr:from>
    <xdr:to>
      <xdr:col>11</xdr:col>
      <xdr:colOff>242888</xdr:colOff>
      <xdr:row>46</xdr:row>
      <xdr:rowOff>66675</xdr:rowOff>
    </xdr:to>
    <xdr:cxnSp macro="">
      <xdr:nvCxnSpPr>
        <xdr:cNvPr id="146" name="Egyenes összekötő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>
          <a:stCxn id="171" idx="0"/>
          <a:endCxn id="18" idx="2"/>
        </xdr:cNvCxnSpPr>
      </xdr:nvCxnSpPr>
      <xdr:spPr>
        <a:xfrm flipV="1">
          <a:off x="6948488" y="7715250"/>
          <a:ext cx="0" cy="11144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566738</xdr:colOff>
      <xdr:row>48</xdr:row>
      <xdr:rowOff>104775</xdr:rowOff>
    </xdr:from>
    <xdr:to>
      <xdr:col>18</xdr:col>
      <xdr:colOff>433388</xdr:colOff>
      <xdr:row>54</xdr:row>
      <xdr:rowOff>114300</xdr:rowOff>
    </xdr:to>
    <xdr:cxnSp macro="">
      <xdr:nvCxnSpPr>
        <xdr:cNvPr id="147" name="Egyenes összekötő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>
          <a:stCxn id="177" idx="0"/>
          <a:endCxn id="203" idx="2"/>
        </xdr:cNvCxnSpPr>
      </xdr:nvCxnSpPr>
      <xdr:spPr>
        <a:xfrm flipV="1">
          <a:off x="9710738" y="9248775"/>
          <a:ext cx="1695450" cy="1152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46</xdr:row>
      <xdr:rowOff>57150</xdr:rowOff>
    </xdr:from>
    <xdr:to>
      <xdr:col>13</xdr:col>
      <xdr:colOff>600075</xdr:colOff>
      <xdr:row>48</xdr:row>
      <xdr:rowOff>104775</xdr:rowOff>
    </xdr:to>
    <xdr:sp macro="" textlink="">
      <xdr:nvSpPr>
        <xdr:cNvPr id="170" name="Szövegdoboz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7905751" y="8820150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V12</a:t>
          </a:r>
        </a:p>
      </xdr:txBody>
    </xdr:sp>
    <xdr:clientData/>
  </xdr:twoCellAnchor>
  <xdr:twoCellAnchor>
    <xdr:from>
      <xdr:col>11</xdr:col>
      <xdr:colOff>66675</xdr:colOff>
      <xdr:row>46</xdr:row>
      <xdr:rowOff>66675</xdr:rowOff>
    </xdr:from>
    <xdr:to>
      <xdr:col>11</xdr:col>
      <xdr:colOff>419101</xdr:colOff>
      <xdr:row>48</xdr:row>
      <xdr:rowOff>114300</xdr:rowOff>
    </xdr:to>
    <xdr:sp macro="" textlink="">
      <xdr:nvSpPr>
        <xdr:cNvPr id="171" name="Szövegdoboz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 txBox="1"/>
      </xdr:nvSpPr>
      <xdr:spPr>
        <a:xfrm>
          <a:off x="6772275" y="882967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6</a:t>
          </a:r>
        </a:p>
      </xdr:txBody>
    </xdr:sp>
    <xdr:clientData/>
  </xdr:twoCellAnchor>
  <xdr:twoCellAnchor>
    <xdr:from>
      <xdr:col>11</xdr:col>
      <xdr:colOff>419101</xdr:colOff>
      <xdr:row>47</xdr:row>
      <xdr:rowOff>80963</xdr:rowOff>
    </xdr:from>
    <xdr:to>
      <xdr:col>12</xdr:col>
      <xdr:colOff>590551</xdr:colOff>
      <xdr:row>47</xdr:row>
      <xdr:rowOff>90488</xdr:rowOff>
    </xdr:to>
    <xdr:cxnSp macro="">
      <xdr:nvCxnSpPr>
        <xdr:cNvPr id="172" name="Egyenes összekötő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>
          <a:stCxn id="171" idx="3"/>
          <a:endCxn id="170" idx="1"/>
        </xdr:cNvCxnSpPr>
      </xdr:nvCxnSpPr>
      <xdr:spPr>
        <a:xfrm flipV="1">
          <a:off x="7124701" y="903446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48</xdr:row>
      <xdr:rowOff>114300</xdr:rowOff>
    </xdr:from>
    <xdr:to>
      <xdr:col>15</xdr:col>
      <xdr:colOff>566738</xdr:colOff>
      <xdr:row>54</xdr:row>
      <xdr:rowOff>114300</xdr:rowOff>
    </xdr:to>
    <xdr:cxnSp macro="">
      <xdr:nvCxnSpPr>
        <xdr:cNvPr id="176" name="Egyenes összekötő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CxnSpPr>
          <a:stCxn id="177" idx="0"/>
          <a:endCxn id="171" idx="2"/>
        </xdr:cNvCxnSpPr>
      </xdr:nvCxnSpPr>
      <xdr:spPr>
        <a:xfrm flipH="1" flipV="1">
          <a:off x="6948488" y="9258300"/>
          <a:ext cx="2762250" cy="1143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54</xdr:row>
      <xdr:rowOff>114300</xdr:rowOff>
    </xdr:from>
    <xdr:to>
      <xdr:col>16</xdr:col>
      <xdr:colOff>133351</xdr:colOff>
      <xdr:row>56</xdr:row>
      <xdr:rowOff>161925</xdr:rowOff>
    </xdr:to>
    <xdr:sp macro="" textlink="">
      <xdr:nvSpPr>
        <xdr:cNvPr id="177" name="Szövegdoboz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 txBox="1"/>
      </xdr:nvSpPr>
      <xdr:spPr>
        <a:xfrm>
          <a:off x="9534525" y="104013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</a:t>
          </a:r>
        </a:p>
      </xdr:txBody>
    </xdr:sp>
    <xdr:clientData/>
  </xdr:twoCellAnchor>
  <xdr:twoCellAnchor>
    <xdr:from>
      <xdr:col>15</xdr:col>
      <xdr:colOff>566738</xdr:colOff>
      <xdr:row>56</xdr:row>
      <xdr:rowOff>161925</xdr:rowOff>
    </xdr:from>
    <xdr:to>
      <xdr:col>15</xdr:col>
      <xdr:colOff>566738</xdr:colOff>
      <xdr:row>59</xdr:row>
      <xdr:rowOff>152400</xdr:rowOff>
    </xdr:to>
    <xdr:cxnSp macro="">
      <xdr:nvCxnSpPr>
        <xdr:cNvPr id="178" name="Egyenes összekötő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CxnSpPr>
          <a:stCxn id="179" idx="0"/>
          <a:endCxn id="177" idx="2"/>
        </xdr:cNvCxnSpPr>
      </xdr:nvCxnSpPr>
      <xdr:spPr>
        <a:xfrm flipV="1">
          <a:off x="9710738" y="10829925"/>
          <a:ext cx="0" cy="5619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59</xdr:row>
      <xdr:rowOff>152400</xdr:rowOff>
    </xdr:from>
    <xdr:to>
      <xdr:col>16</xdr:col>
      <xdr:colOff>133351</xdr:colOff>
      <xdr:row>62</xdr:row>
      <xdr:rowOff>9525</xdr:rowOff>
    </xdr:to>
    <xdr:sp macro="" textlink="">
      <xdr:nvSpPr>
        <xdr:cNvPr id="179" name="Szövegdoboz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 txBox="1"/>
      </xdr:nvSpPr>
      <xdr:spPr>
        <a:xfrm>
          <a:off x="9534525" y="113919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0</a:t>
          </a:r>
        </a:p>
      </xdr:txBody>
    </xdr:sp>
    <xdr:clientData/>
  </xdr:twoCellAnchor>
  <xdr:twoCellAnchor>
    <xdr:from>
      <xdr:col>6</xdr:col>
      <xdr:colOff>161926</xdr:colOff>
      <xdr:row>20</xdr:row>
      <xdr:rowOff>166688</xdr:rowOff>
    </xdr:from>
    <xdr:to>
      <xdr:col>7</xdr:col>
      <xdr:colOff>590551</xdr:colOff>
      <xdr:row>22</xdr:row>
      <xdr:rowOff>119063</xdr:rowOff>
    </xdr:to>
    <xdr:cxnSp macro="">
      <xdr:nvCxnSpPr>
        <xdr:cNvPr id="186" name="Egyenes összekötő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CxnSpPr>
          <a:stCxn id="187" idx="1"/>
          <a:endCxn id="197" idx="3"/>
        </xdr:cNvCxnSpPr>
      </xdr:nvCxnSpPr>
      <xdr:spPr>
        <a:xfrm flipH="1" flipV="1">
          <a:off x="3819526" y="3976688"/>
          <a:ext cx="10382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590551</xdr:colOff>
      <xdr:row>21</xdr:row>
      <xdr:rowOff>95250</xdr:rowOff>
    </xdr:from>
    <xdr:to>
      <xdr:col>8</xdr:col>
      <xdr:colOff>447675</xdr:colOff>
      <xdr:row>23</xdr:row>
      <xdr:rowOff>142875</xdr:rowOff>
    </xdr:to>
    <xdr:sp macro="" textlink="">
      <xdr:nvSpPr>
        <xdr:cNvPr id="187" name="Szövegdoboz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 txBox="1"/>
      </xdr:nvSpPr>
      <xdr:spPr>
        <a:xfrm>
          <a:off x="4857751" y="40957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15</a:t>
          </a:r>
        </a:p>
      </xdr:txBody>
    </xdr:sp>
    <xdr:clientData/>
  </xdr:twoCellAnchor>
  <xdr:twoCellAnchor>
    <xdr:from>
      <xdr:col>6</xdr:col>
      <xdr:colOff>200026</xdr:colOff>
      <xdr:row>22</xdr:row>
      <xdr:rowOff>119063</xdr:rowOff>
    </xdr:from>
    <xdr:to>
      <xdr:col>7</xdr:col>
      <xdr:colOff>590551</xdr:colOff>
      <xdr:row>24</xdr:row>
      <xdr:rowOff>71438</xdr:rowOff>
    </xdr:to>
    <xdr:cxnSp macro="">
      <xdr:nvCxnSpPr>
        <xdr:cNvPr id="191" name="Egyenes összekötő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CxnSpPr>
          <a:stCxn id="187" idx="1"/>
          <a:endCxn id="198" idx="3"/>
        </xdr:cNvCxnSpPr>
      </xdr:nvCxnSpPr>
      <xdr:spPr>
        <a:xfrm flipH="1">
          <a:off x="3857626" y="4310063"/>
          <a:ext cx="10001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104776</xdr:colOff>
      <xdr:row>19</xdr:row>
      <xdr:rowOff>142875</xdr:rowOff>
    </xdr:from>
    <xdr:to>
      <xdr:col>6</xdr:col>
      <xdr:colOff>161926</xdr:colOff>
      <xdr:row>22</xdr:row>
      <xdr:rowOff>0</xdr:rowOff>
    </xdr:to>
    <xdr:sp macro="" textlink="">
      <xdr:nvSpPr>
        <xdr:cNvPr id="197" name="Szövegdoboz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 txBox="1"/>
      </xdr:nvSpPr>
      <xdr:spPr>
        <a:xfrm>
          <a:off x="3152776" y="37623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V7</a:t>
          </a:r>
        </a:p>
      </xdr:txBody>
    </xdr:sp>
    <xdr:clientData/>
  </xdr:twoCellAnchor>
  <xdr:twoCellAnchor>
    <xdr:from>
      <xdr:col>5</xdr:col>
      <xdr:colOff>142876</xdr:colOff>
      <xdr:row>23</xdr:row>
      <xdr:rowOff>47625</xdr:rowOff>
    </xdr:from>
    <xdr:to>
      <xdr:col>6</xdr:col>
      <xdr:colOff>200026</xdr:colOff>
      <xdr:row>25</xdr:row>
      <xdr:rowOff>95250</xdr:rowOff>
    </xdr:to>
    <xdr:sp macro="" textlink="">
      <xdr:nvSpPr>
        <xdr:cNvPr id="198" name="Szövegdoboz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 txBox="1"/>
      </xdr:nvSpPr>
      <xdr:spPr>
        <a:xfrm>
          <a:off x="3190876" y="44291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V19</a:t>
          </a:r>
        </a:p>
      </xdr:txBody>
    </xdr:sp>
    <xdr:clientData/>
  </xdr:twoCellAnchor>
  <xdr:twoCellAnchor>
    <xdr:from>
      <xdr:col>18</xdr:col>
      <xdr:colOff>433388</xdr:colOff>
      <xdr:row>42</xdr:row>
      <xdr:rowOff>95250</xdr:rowOff>
    </xdr:from>
    <xdr:to>
      <xdr:col>18</xdr:col>
      <xdr:colOff>442913</xdr:colOff>
      <xdr:row>46</xdr:row>
      <xdr:rowOff>57150</xdr:rowOff>
    </xdr:to>
    <xdr:cxnSp macro="">
      <xdr:nvCxnSpPr>
        <xdr:cNvPr id="201" name="Egyenes összekötő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>
          <a:stCxn id="203" idx="0"/>
          <a:endCxn id="237" idx="2"/>
        </xdr:cNvCxnSpPr>
      </xdr:nvCxnSpPr>
      <xdr:spPr>
        <a:xfrm flipV="1">
          <a:off x="11406188" y="8096250"/>
          <a:ext cx="9525" cy="723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504826</xdr:colOff>
      <xdr:row>46</xdr:row>
      <xdr:rowOff>57150</xdr:rowOff>
    </xdr:from>
    <xdr:to>
      <xdr:col>20</xdr:col>
      <xdr:colOff>219075</xdr:colOff>
      <xdr:row>48</xdr:row>
      <xdr:rowOff>104775</xdr:rowOff>
    </xdr:to>
    <xdr:sp macro="" textlink="">
      <xdr:nvSpPr>
        <xdr:cNvPr id="202" name="Szövegdoboz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 txBox="1"/>
      </xdr:nvSpPr>
      <xdr:spPr>
        <a:xfrm>
          <a:off x="12087226" y="8820150"/>
          <a:ext cx="3238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3</a:t>
          </a:r>
        </a:p>
      </xdr:txBody>
    </xdr:sp>
    <xdr:clientData/>
  </xdr:twoCellAnchor>
  <xdr:twoCellAnchor>
    <xdr:from>
      <xdr:col>18</xdr:col>
      <xdr:colOff>257175</xdr:colOff>
      <xdr:row>46</xdr:row>
      <xdr:rowOff>57150</xdr:rowOff>
    </xdr:from>
    <xdr:to>
      <xdr:col>19</xdr:col>
      <xdr:colOff>1</xdr:colOff>
      <xdr:row>48</xdr:row>
      <xdr:rowOff>104775</xdr:rowOff>
    </xdr:to>
    <xdr:sp macro="" textlink="">
      <xdr:nvSpPr>
        <xdr:cNvPr id="203" name="Szövegdoboz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 txBox="1"/>
      </xdr:nvSpPr>
      <xdr:spPr>
        <a:xfrm>
          <a:off x="11229975" y="882015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</a:t>
          </a:r>
        </a:p>
      </xdr:txBody>
    </xdr:sp>
    <xdr:clientData/>
  </xdr:twoCellAnchor>
  <xdr:twoCellAnchor>
    <xdr:from>
      <xdr:col>19</xdr:col>
      <xdr:colOff>1</xdr:colOff>
      <xdr:row>47</xdr:row>
      <xdr:rowOff>80963</xdr:rowOff>
    </xdr:from>
    <xdr:to>
      <xdr:col>19</xdr:col>
      <xdr:colOff>504826</xdr:colOff>
      <xdr:row>47</xdr:row>
      <xdr:rowOff>80963</xdr:rowOff>
    </xdr:to>
    <xdr:cxnSp macro="">
      <xdr:nvCxnSpPr>
        <xdr:cNvPr id="204" name="Egyenes összekötő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CxnSpPr>
          <a:stCxn id="203" idx="3"/>
          <a:endCxn id="202" idx="1"/>
        </xdr:cNvCxnSpPr>
      </xdr:nvCxnSpPr>
      <xdr:spPr>
        <a:xfrm>
          <a:off x="11582401" y="903446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47626</xdr:colOff>
      <xdr:row>12</xdr:row>
      <xdr:rowOff>66675</xdr:rowOff>
    </xdr:from>
    <xdr:to>
      <xdr:col>9</xdr:col>
      <xdr:colOff>504825</xdr:colOff>
      <xdr:row>14</xdr:row>
      <xdr:rowOff>114300</xdr:rowOff>
    </xdr:to>
    <xdr:sp macro="" textlink="">
      <xdr:nvSpPr>
        <xdr:cNvPr id="212" name="Szövegdoboz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 txBox="1"/>
      </xdr:nvSpPr>
      <xdr:spPr>
        <a:xfrm>
          <a:off x="5534026" y="2352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14</a:t>
          </a:r>
        </a:p>
      </xdr:txBody>
    </xdr:sp>
    <xdr:clientData/>
  </xdr:twoCellAnchor>
  <xdr:twoCellAnchor>
    <xdr:from>
      <xdr:col>9</xdr:col>
      <xdr:colOff>504825</xdr:colOff>
      <xdr:row>13</xdr:row>
      <xdr:rowOff>90488</xdr:rowOff>
    </xdr:from>
    <xdr:to>
      <xdr:col>10</xdr:col>
      <xdr:colOff>600076</xdr:colOff>
      <xdr:row>13</xdr:row>
      <xdr:rowOff>90488</xdr:rowOff>
    </xdr:to>
    <xdr:cxnSp macro="">
      <xdr:nvCxnSpPr>
        <xdr:cNvPr id="215" name="Egyenes összekötő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CxnSpPr>
          <a:stCxn id="212" idx="3"/>
          <a:endCxn id="30" idx="1"/>
        </xdr:cNvCxnSpPr>
      </xdr:nvCxnSpPr>
      <xdr:spPr>
        <a:xfrm>
          <a:off x="5991225" y="2566988"/>
          <a:ext cx="7048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171451</xdr:colOff>
      <xdr:row>48</xdr:row>
      <xdr:rowOff>104775</xdr:rowOff>
    </xdr:from>
    <xdr:to>
      <xdr:col>22</xdr:col>
      <xdr:colOff>19050</xdr:colOff>
      <xdr:row>50</xdr:row>
      <xdr:rowOff>95250</xdr:rowOff>
    </xdr:to>
    <xdr:sp macro="" textlink="">
      <xdr:nvSpPr>
        <xdr:cNvPr id="226" name="Szövegdoboz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12973051" y="9248775"/>
          <a:ext cx="457199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K3</a:t>
          </a:r>
        </a:p>
      </xdr:txBody>
    </xdr:sp>
    <xdr:clientData/>
  </xdr:twoCellAnchor>
  <xdr:twoCellAnchor>
    <xdr:from>
      <xdr:col>20</xdr:col>
      <xdr:colOff>219075</xdr:colOff>
      <xdr:row>47</xdr:row>
      <xdr:rowOff>80963</xdr:rowOff>
    </xdr:from>
    <xdr:to>
      <xdr:col>21</xdr:col>
      <xdr:colOff>171451</xdr:colOff>
      <xdr:row>49</xdr:row>
      <xdr:rowOff>100013</xdr:rowOff>
    </xdr:to>
    <xdr:cxnSp macro="">
      <xdr:nvCxnSpPr>
        <xdr:cNvPr id="227" name="Egyenes összekötő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CxnSpPr>
          <a:stCxn id="202" idx="3"/>
          <a:endCxn id="226" idx="1"/>
        </xdr:cNvCxnSpPr>
      </xdr:nvCxnSpPr>
      <xdr:spPr>
        <a:xfrm>
          <a:off x="12411075" y="9034463"/>
          <a:ext cx="561976" cy="400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152401</xdr:colOff>
      <xdr:row>44</xdr:row>
      <xdr:rowOff>95250</xdr:rowOff>
    </xdr:from>
    <xdr:to>
      <xdr:col>22</xdr:col>
      <xdr:colOff>9525</xdr:colOff>
      <xdr:row>46</xdr:row>
      <xdr:rowOff>142875</xdr:rowOff>
    </xdr:to>
    <xdr:sp macro="" textlink="">
      <xdr:nvSpPr>
        <xdr:cNvPr id="228" name="Szövegdoboz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 txBox="1"/>
      </xdr:nvSpPr>
      <xdr:spPr>
        <a:xfrm>
          <a:off x="12954001" y="84772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K2</a:t>
          </a:r>
        </a:p>
      </xdr:txBody>
    </xdr:sp>
    <xdr:clientData/>
  </xdr:twoCellAnchor>
  <xdr:twoCellAnchor>
    <xdr:from>
      <xdr:col>20</xdr:col>
      <xdr:colOff>219075</xdr:colOff>
      <xdr:row>45</xdr:row>
      <xdr:rowOff>119063</xdr:rowOff>
    </xdr:from>
    <xdr:to>
      <xdr:col>21</xdr:col>
      <xdr:colOff>152401</xdr:colOff>
      <xdr:row>47</xdr:row>
      <xdr:rowOff>80963</xdr:rowOff>
    </xdr:to>
    <xdr:cxnSp macro="">
      <xdr:nvCxnSpPr>
        <xdr:cNvPr id="229" name="Egyenes összekötő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CxnSpPr>
          <a:stCxn id="202" idx="3"/>
          <a:endCxn id="228" idx="1"/>
        </xdr:cNvCxnSpPr>
      </xdr:nvCxnSpPr>
      <xdr:spPr>
        <a:xfrm flipV="1">
          <a:off x="12411075" y="8691563"/>
          <a:ext cx="542926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40</xdr:row>
      <xdr:rowOff>47625</xdr:rowOff>
    </xdr:from>
    <xdr:to>
      <xdr:col>20</xdr:col>
      <xdr:colOff>361950</xdr:colOff>
      <xdr:row>42</xdr:row>
      <xdr:rowOff>95250</xdr:rowOff>
    </xdr:to>
    <xdr:sp macro="" textlink="">
      <xdr:nvSpPr>
        <xdr:cNvPr id="236" name="Szövegdoboz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12096751" y="766762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K1</a:t>
          </a:r>
        </a:p>
      </xdr:txBody>
    </xdr:sp>
    <xdr:clientData/>
  </xdr:twoCellAnchor>
  <xdr:twoCellAnchor>
    <xdr:from>
      <xdr:col>18</xdr:col>
      <xdr:colOff>266700</xdr:colOff>
      <xdr:row>40</xdr:row>
      <xdr:rowOff>47625</xdr:rowOff>
    </xdr:from>
    <xdr:to>
      <xdr:col>19</xdr:col>
      <xdr:colOff>9526</xdr:colOff>
      <xdr:row>42</xdr:row>
      <xdr:rowOff>95250</xdr:rowOff>
    </xdr:to>
    <xdr:sp macro="" textlink="">
      <xdr:nvSpPr>
        <xdr:cNvPr id="237" name="Szövegdoboz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11239500" y="7667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4</a:t>
          </a:r>
        </a:p>
      </xdr:txBody>
    </xdr:sp>
    <xdr:clientData/>
  </xdr:twoCellAnchor>
  <xdr:twoCellAnchor>
    <xdr:from>
      <xdr:col>19</xdr:col>
      <xdr:colOff>9526</xdr:colOff>
      <xdr:row>41</xdr:row>
      <xdr:rowOff>71438</xdr:rowOff>
    </xdr:from>
    <xdr:to>
      <xdr:col>19</xdr:col>
      <xdr:colOff>514351</xdr:colOff>
      <xdr:row>41</xdr:row>
      <xdr:rowOff>71438</xdr:rowOff>
    </xdr:to>
    <xdr:cxnSp macro="">
      <xdr:nvCxnSpPr>
        <xdr:cNvPr id="238" name="Egyenes összekötő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CxnSpPr>
          <a:stCxn id="237" idx="3"/>
          <a:endCxn id="236" idx="1"/>
        </xdr:cNvCxnSpPr>
      </xdr:nvCxnSpPr>
      <xdr:spPr>
        <a:xfrm>
          <a:off x="11591926" y="7881938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34</xdr:row>
      <xdr:rowOff>0</xdr:rowOff>
    </xdr:from>
    <xdr:to>
      <xdr:col>20</xdr:col>
      <xdr:colOff>361950</xdr:colOff>
      <xdr:row>36</xdr:row>
      <xdr:rowOff>47625</xdr:rowOff>
    </xdr:to>
    <xdr:sp macro="" textlink="">
      <xdr:nvSpPr>
        <xdr:cNvPr id="241" name="Szövegdoboz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 txBox="1"/>
      </xdr:nvSpPr>
      <xdr:spPr>
        <a:xfrm>
          <a:off x="12096751" y="64770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K4</a:t>
          </a:r>
        </a:p>
      </xdr:txBody>
    </xdr:sp>
    <xdr:clientData/>
  </xdr:twoCellAnchor>
  <xdr:twoCellAnchor>
    <xdr:from>
      <xdr:col>18</xdr:col>
      <xdr:colOff>266700</xdr:colOff>
      <xdr:row>34</xdr:row>
      <xdr:rowOff>0</xdr:rowOff>
    </xdr:from>
    <xdr:to>
      <xdr:col>19</xdr:col>
      <xdr:colOff>9526</xdr:colOff>
      <xdr:row>36</xdr:row>
      <xdr:rowOff>47625</xdr:rowOff>
    </xdr:to>
    <xdr:sp macro="" textlink="">
      <xdr:nvSpPr>
        <xdr:cNvPr id="242" name="Szövegdoboz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 txBox="1"/>
      </xdr:nvSpPr>
      <xdr:spPr>
        <a:xfrm>
          <a:off x="11239500" y="64770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5</a:t>
          </a:r>
        </a:p>
      </xdr:txBody>
    </xdr:sp>
    <xdr:clientData/>
  </xdr:twoCellAnchor>
  <xdr:twoCellAnchor>
    <xdr:from>
      <xdr:col>19</xdr:col>
      <xdr:colOff>9526</xdr:colOff>
      <xdr:row>35</xdr:row>
      <xdr:rowOff>23813</xdr:rowOff>
    </xdr:from>
    <xdr:to>
      <xdr:col>19</xdr:col>
      <xdr:colOff>514351</xdr:colOff>
      <xdr:row>35</xdr:row>
      <xdr:rowOff>23813</xdr:rowOff>
    </xdr:to>
    <xdr:cxnSp macro="">
      <xdr:nvCxnSpPr>
        <xdr:cNvPr id="243" name="Egyenes összekötő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CxnSpPr>
          <a:stCxn id="242" idx="3"/>
          <a:endCxn id="241" idx="1"/>
        </xdr:cNvCxnSpPr>
      </xdr:nvCxnSpPr>
      <xdr:spPr>
        <a:xfrm>
          <a:off x="11591926" y="669131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442913</xdr:colOff>
      <xdr:row>36</xdr:row>
      <xdr:rowOff>47625</xdr:rowOff>
    </xdr:from>
    <xdr:to>
      <xdr:col>18</xdr:col>
      <xdr:colOff>442913</xdr:colOff>
      <xdr:row>40</xdr:row>
      <xdr:rowOff>47625</xdr:rowOff>
    </xdr:to>
    <xdr:cxnSp macro="">
      <xdr:nvCxnSpPr>
        <xdr:cNvPr id="244" name="Egyenes összekötő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CxnSpPr>
          <a:stCxn id="237" idx="0"/>
          <a:endCxn id="242" idx="2"/>
        </xdr:cNvCxnSpPr>
      </xdr:nvCxnSpPr>
      <xdr:spPr>
        <a:xfrm flipV="1">
          <a:off x="11415713" y="6905625"/>
          <a:ext cx="0" cy="762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314326</xdr:colOff>
      <xdr:row>28</xdr:row>
      <xdr:rowOff>161926</xdr:rowOff>
    </xdr:from>
    <xdr:to>
      <xdr:col>20</xdr:col>
      <xdr:colOff>238125</xdr:colOff>
      <xdr:row>31</xdr:row>
      <xdr:rowOff>9526</xdr:rowOff>
    </xdr:to>
    <xdr:sp macro="" textlink="">
      <xdr:nvSpPr>
        <xdr:cNvPr id="247" name="Szövegdoboz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 txBox="1"/>
      </xdr:nvSpPr>
      <xdr:spPr>
        <a:xfrm>
          <a:off x="11896726" y="5495926"/>
          <a:ext cx="533399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K5</a:t>
          </a:r>
        </a:p>
      </xdr:txBody>
    </xdr:sp>
    <xdr:clientData/>
  </xdr:twoCellAnchor>
  <xdr:twoCellAnchor>
    <xdr:from>
      <xdr:col>18</xdr:col>
      <xdr:colOff>442913</xdr:colOff>
      <xdr:row>29</xdr:row>
      <xdr:rowOff>180976</xdr:rowOff>
    </xdr:from>
    <xdr:to>
      <xdr:col>19</xdr:col>
      <xdr:colOff>314326</xdr:colOff>
      <xdr:row>34</xdr:row>
      <xdr:rowOff>0</xdr:rowOff>
    </xdr:to>
    <xdr:cxnSp macro="">
      <xdr:nvCxnSpPr>
        <xdr:cNvPr id="248" name="Egyenes összekötő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CxnSpPr>
          <a:stCxn id="242" idx="0"/>
          <a:endCxn id="247" idx="1"/>
        </xdr:cNvCxnSpPr>
      </xdr:nvCxnSpPr>
      <xdr:spPr>
        <a:xfrm flipV="1">
          <a:off x="11415713" y="5705476"/>
          <a:ext cx="481013" cy="771524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BF154"/>
  <sheetViews>
    <sheetView tabSelected="1" topLeftCell="A9" zoomScaleNormal="100" workbookViewId="0">
      <pane xSplit="1" topLeftCell="AR1" activePane="topRight" state="frozen"/>
      <selection pane="topRight" activeCell="BE16" sqref="BE16"/>
    </sheetView>
  </sheetViews>
  <sheetFormatPr defaultRowHeight="15" x14ac:dyDescent="0.25"/>
  <cols>
    <col min="1" max="1" width="16" bestFit="1" customWidth="1"/>
    <col min="2" max="2" width="15.42578125" bestFit="1" customWidth="1"/>
    <col min="3" max="3" width="16" bestFit="1" customWidth="1"/>
    <col min="4" max="4" width="17" bestFit="1" customWidth="1"/>
    <col min="5" max="5" width="12.5703125" bestFit="1" customWidth="1"/>
    <col min="6" max="6" width="12.7109375" customWidth="1"/>
    <col min="7" max="7" width="15" customWidth="1"/>
    <col min="8" max="8" width="16.42578125" customWidth="1"/>
    <col min="9" max="9" width="16.140625" customWidth="1"/>
    <col min="10" max="11" width="15.42578125" customWidth="1"/>
    <col min="12" max="12" width="14.7109375" customWidth="1"/>
    <col min="13" max="13" width="15" customWidth="1"/>
    <col min="14" max="14" width="18" customWidth="1"/>
    <col min="15" max="15" width="17" customWidth="1"/>
    <col min="16" max="16" width="20.42578125" customWidth="1"/>
    <col min="17" max="19" width="14.7109375" bestFit="1" customWidth="1"/>
    <col min="20" max="20" width="16.28515625" customWidth="1"/>
    <col min="21" max="21" width="16.28515625" bestFit="1" customWidth="1"/>
    <col min="22" max="22" width="13.5703125" customWidth="1"/>
    <col min="23" max="23" width="14.5703125" customWidth="1"/>
    <col min="26" max="26" width="14.42578125" bestFit="1" customWidth="1"/>
    <col min="27" max="27" width="13.28515625" bestFit="1" customWidth="1"/>
    <col min="30" max="30" width="21.42578125" customWidth="1"/>
    <col min="31" max="31" width="19.140625" customWidth="1"/>
    <col min="32" max="32" width="19" customWidth="1"/>
    <col min="33" max="33" width="12.7109375" customWidth="1"/>
    <col min="34" max="34" width="26.42578125" customWidth="1"/>
    <col min="35" max="35" width="21.7109375" customWidth="1"/>
    <col min="36" max="36" width="22.85546875" customWidth="1"/>
    <col min="37" max="37" width="20.42578125" customWidth="1"/>
    <col min="38" max="38" width="22.140625" customWidth="1"/>
    <col min="39" max="39" width="21.140625" customWidth="1"/>
    <col min="40" max="40" width="22.7109375" customWidth="1"/>
    <col min="41" max="41" width="22.28515625" customWidth="1"/>
    <col min="42" max="42" width="20.28515625" customWidth="1"/>
    <col min="43" max="43" width="21.7109375" customWidth="1"/>
    <col min="44" max="44" width="21.85546875" customWidth="1"/>
    <col min="49" max="49" width="14.7109375" customWidth="1"/>
    <col min="50" max="50" width="14.5703125" customWidth="1"/>
    <col min="53" max="53" width="9.85546875" bestFit="1" customWidth="1"/>
    <col min="57" max="57" width="9.85546875" bestFit="1" customWidth="1"/>
  </cols>
  <sheetData>
    <row r="1" spans="1:57" ht="15.75" thickBot="1" x14ac:dyDescent="0.3">
      <c r="A1" s="21" t="s">
        <v>1</v>
      </c>
      <c r="B1" s="21">
        <v>110</v>
      </c>
      <c r="C1" s="21" t="s">
        <v>4</v>
      </c>
      <c r="D1" s="21" t="s">
        <v>37</v>
      </c>
      <c r="E1" s="22">
        <f>N$1*B1^3+N$2*B1^2+N$3*B1+N$4</f>
        <v>4.2177589361000001</v>
      </c>
      <c r="F1" s="21" t="s">
        <v>40</v>
      </c>
      <c r="G1" s="23" t="s">
        <v>46</v>
      </c>
      <c r="H1" s="24">
        <f>(1-6.63*10^(-6)*(B1-4)^2)*1000</f>
        <v>925.50531999999998</v>
      </c>
      <c r="I1" s="21" t="s">
        <v>49</v>
      </c>
      <c r="J1" s="25" t="s">
        <v>63</v>
      </c>
      <c r="K1" s="26">
        <f>(O$1*B1^3+O$2*B1^2+O$3*B1+O$4)/H1</f>
        <v>1.1423107756960308E-7</v>
      </c>
      <c r="L1" s="27" t="s">
        <v>65</v>
      </c>
      <c r="M1" s="27" t="s">
        <v>33</v>
      </c>
      <c r="N1" s="28">
        <v>-8.9259900000000001E-8</v>
      </c>
      <c r="O1" s="29">
        <v>-3.5860299999999999E-9</v>
      </c>
      <c r="P1" s="30" t="s">
        <v>52</v>
      </c>
      <c r="Q1" s="21">
        <v>0.08</v>
      </c>
      <c r="R1" s="31"/>
      <c r="S1" s="31"/>
      <c r="T1" s="31"/>
      <c r="U1" s="31"/>
      <c r="V1" s="31"/>
      <c r="W1" s="31"/>
      <c r="X1" s="31"/>
      <c r="Y1" s="31"/>
      <c r="AI1" s="105"/>
      <c r="AJ1" s="105"/>
      <c r="AK1" s="105"/>
      <c r="AL1" s="105"/>
      <c r="AM1" s="105"/>
      <c r="AN1" s="105"/>
      <c r="AO1" s="105"/>
    </row>
    <row r="2" spans="1:57" ht="15.75" thickBot="1" x14ac:dyDescent="0.3">
      <c r="A2" s="21" t="s">
        <v>0</v>
      </c>
      <c r="B2" s="21">
        <v>55</v>
      </c>
      <c r="C2" s="21" t="s">
        <v>4</v>
      </c>
      <c r="D2" s="21" t="s">
        <v>38</v>
      </c>
      <c r="E2" s="22">
        <f>N$1*B2^3+N$2*B2^2+N$3*B2+N$4</f>
        <v>4.1786889921375003</v>
      </c>
      <c r="F2" s="21" t="s">
        <v>40</v>
      </c>
      <c r="G2" s="23" t="s">
        <v>47</v>
      </c>
      <c r="H2" s="24">
        <f>(1-6.63*10^(-6)*(B2-4)^2)*1000</f>
        <v>982.75536999999997</v>
      </c>
      <c r="I2" s="21" t="s">
        <v>49</v>
      </c>
      <c r="J2" s="25" t="s">
        <v>64</v>
      </c>
      <c r="K2" s="26">
        <f>(O$1*B2^3+O$2*B2^2+O$3*B2+O$4)/H2</f>
        <v>5.3291833831444747E-7</v>
      </c>
      <c r="L2" s="27" t="s">
        <v>65</v>
      </c>
      <c r="M2" s="27" t="s">
        <v>34</v>
      </c>
      <c r="N2" s="28">
        <v>2.5046400000000001E-5</v>
      </c>
      <c r="O2" s="29">
        <v>7.3190400000000004E-7</v>
      </c>
      <c r="P2" s="30" t="s">
        <v>53</v>
      </c>
      <c r="Q2" s="21">
        <v>0.25</v>
      </c>
      <c r="R2" s="31"/>
      <c r="S2" s="31"/>
      <c r="T2" s="31"/>
      <c r="U2" s="31"/>
      <c r="V2" s="31"/>
      <c r="W2" s="31"/>
      <c r="X2" s="31"/>
      <c r="Y2" s="31"/>
    </row>
    <row r="3" spans="1:57" ht="15.75" thickBot="1" x14ac:dyDescent="0.3">
      <c r="A3" s="23" t="s">
        <v>2</v>
      </c>
      <c r="B3" s="21">
        <v>6</v>
      </c>
      <c r="C3" s="21" t="s">
        <v>5</v>
      </c>
      <c r="D3" s="21" t="s">
        <v>39</v>
      </c>
      <c r="E3" s="22">
        <f>(E1+E2)/2</f>
        <v>4.1982239641187498</v>
      </c>
      <c r="F3" s="21" t="s">
        <v>40</v>
      </c>
      <c r="G3" s="23" t="s">
        <v>48</v>
      </c>
      <c r="H3" s="24">
        <f>(H1+H2)/2</f>
        <v>954.13034500000003</v>
      </c>
      <c r="I3" s="21" t="s">
        <v>49</v>
      </c>
      <c r="J3" s="21" t="s">
        <v>62</v>
      </c>
      <c r="K3" s="21">
        <f>(K1+K2)/2</f>
        <v>3.2357470794202526E-7</v>
      </c>
      <c r="L3" s="27" t="s">
        <v>65</v>
      </c>
      <c r="M3" s="27" t="s">
        <v>35</v>
      </c>
      <c r="N3" s="28">
        <v>-1.532215E-3</v>
      </c>
      <c r="O3" s="29">
        <v>-5.2430099999999998E-5</v>
      </c>
      <c r="P3" s="30" t="s">
        <v>54</v>
      </c>
      <c r="Q3" s="21">
        <v>1</v>
      </c>
      <c r="R3" s="31"/>
      <c r="S3" s="31"/>
      <c r="T3" s="31"/>
      <c r="U3" s="31"/>
      <c r="V3" s="31"/>
      <c r="W3" s="31"/>
      <c r="X3" s="31"/>
      <c r="Y3" s="31"/>
    </row>
    <row r="4" spans="1:57" ht="15.75" thickBot="1" x14ac:dyDescent="0.3">
      <c r="A4" s="23" t="s">
        <v>3</v>
      </c>
      <c r="B4" s="21">
        <v>240</v>
      </c>
      <c r="C4" s="21" t="s">
        <v>6</v>
      </c>
      <c r="D4" s="21"/>
      <c r="E4" s="21"/>
      <c r="F4" s="21"/>
      <c r="G4" s="31"/>
      <c r="H4" s="31"/>
      <c r="I4" s="31"/>
      <c r="J4" s="31"/>
      <c r="K4" s="31"/>
      <c r="L4" s="31"/>
      <c r="M4" s="27" t="s">
        <v>36</v>
      </c>
      <c r="N4" s="28">
        <v>4.202046073</v>
      </c>
      <c r="O4" s="29">
        <v>1.7899999999999999E-3</v>
      </c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57" x14ac:dyDescent="0.25">
      <c r="A5" s="23" t="s">
        <v>61</v>
      </c>
      <c r="B5" s="21">
        <v>3.14159265358979</v>
      </c>
      <c r="C5" s="21"/>
      <c r="D5" s="21"/>
      <c r="E5" s="21"/>
      <c r="F5" s="2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AG5" s="8"/>
      <c r="AH5" s="110" t="s">
        <v>77</v>
      </c>
      <c r="AI5" s="111"/>
      <c r="AJ5" s="112"/>
      <c r="AK5" s="113" t="s">
        <v>175</v>
      </c>
      <c r="AL5" s="114"/>
      <c r="AM5" s="68"/>
      <c r="AN5" s="8"/>
      <c r="AO5" s="8"/>
      <c r="AP5" s="8"/>
      <c r="AQ5" s="8"/>
      <c r="AR5" s="8"/>
      <c r="AS5" s="8"/>
    </row>
    <row r="6" spans="1:57" x14ac:dyDescent="0.25">
      <c r="A6" s="21" t="s">
        <v>50</v>
      </c>
      <c r="B6" s="21">
        <v>45</v>
      </c>
      <c r="C6" s="21" t="s">
        <v>51</v>
      </c>
      <c r="D6" s="21" t="s">
        <v>33</v>
      </c>
      <c r="E6" s="21">
        <v>0.04</v>
      </c>
      <c r="F6" s="21" t="s">
        <v>59</v>
      </c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AD6" s="110" t="s">
        <v>71</v>
      </c>
      <c r="AE6" s="111"/>
      <c r="AF6" s="111"/>
      <c r="AG6" s="69"/>
      <c r="AH6" s="110" t="s">
        <v>78</v>
      </c>
      <c r="AI6" s="111"/>
      <c r="AJ6" s="112"/>
      <c r="AK6" s="115"/>
      <c r="AL6" s="116"/>
      <c r="AM6" s="68"/>
      <c r="AN6" s="8"/>
      <c r="AO6" s="8"/>
      <c r="AP6" s="8"/>
      <c r="AQ6" s="8"/>
      <c r="AR6" s="8"/>
      <c r="AS6" s="8"/>
    </row>
    <row r="7" spans="1:57" x14ac:dyDescent="0.25">
      <c r="A7" s="38" t="s">
        <v>66</v>
      </c>
      <c r="B7" s="38">
        <v>8760</v>
      </c>
      <c r="C7" s="38" t="s">
        <v>67</v>
      </c>
      <c r="D7" s="38" t="s">
        <v>69</v>
      </c>
      <c r="E7" s="38">
        <v>0.1255</v>
      </c>
      <c r="F7" s="38" t="s">
        <v>167</v>
      </c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AD7" s="110" t="s">
        <v>168</v>
      </c>
      <c r="AE7" s="111"/>
      <c r="AF7" s="112"/>
      <c r="AG7" s="68"/>
      <c r="AH7" s="110" t="s">
        <v>79</v>
      </c>
      <c r="AI7" s="111"/>
      <c r="AJ7" s="112"/>
      <c r="AK7" s="117"/>
      <c r="AL7" s="118"/>
      <c r="AM7" s="68"/>
      <c r="AN7" s="8"/>
      <c r="AO7" s="8"/>
      <c r="AP7" s="8"/>
      <c r="AQ7" s="8"/>
      <c r="AR7" s="8"/>
      <c r="AS7" s="8"/>
    </row>
    <row r="8" spans="1:57" ht="63.75" x14ac:dyDescent="0.25">
      <c r="A8" s="39" t="s">
        <v>144</v>
      </c>
      <c r="B8" s="39" t="s">
        <v>31</v>
      </c>
      <c r="C8" s="39" t="s">
        <v>32</v>
      </c>
      <c r="D8" s="39" t="s">
        <v>41</v>
      </c>
      <c r="E8" s="39" t="s">
        <v>44</v>
      </c>
      <c r="F8" s="39" t="s">
        <v>73</v>
      </c>
      <c r="G8" s="39" t="s">
        <v>84</v>
      </c>
      <c r="H8" s="39" t="s">
        <v>85</v>
      </c>
      <c r="I8" s="39" t="s">
        <v>86</v>
      </c>
      <c r="J8" s="39" t="s">
        <v>87</v>
      </c>
      <c r="K8" s="39" t="s">
        <v>88</v>
      </c>
      <c r="L8" s="39" t="s">
        <v>89</v>
      </c>
      <c r="M8" s="39" t="s">
        <v>90</v>
      </c>
      <c r="N8" s="39" t="s">
        <v>91</v>
      </c>
      <c r="O8" s="39" t="s">
        <v>92</v>
      </c>
      <c r="P8" s="39" t="s">
        <v>93</v>
      </c>
      <c r="Q8" s="39" t="s">
        <v>94</v>
      </c>
      <c r="R8" s="39" t="s">
        <v>95</v>
      </c>
      <c r="S8" s="39" t="s">
        <v>96</v>
      </c>
      <c r="T8" s="39" t="s">
        <v>98</v>
      </c>
      <c r="U8" s="39" t="s">
        <v>97</v>
      </c>
      <c r="V8" s="40" t="s">
        <v>55</v>
      </c>
      <c r="W8" s="40" t="s">
        <v>57</v>
      </c>
      <c r="X8" s="40" t="s">
        <v>82</v>
      </c>
      <c r="Z8" s="40" t="s">
        <v>83</v>
      </c>
      <c r="AA8" s="64" t="s">
        <v>166</v>
      </c>
      <c r="AB8" s="109" t="s">
        <v>183</v>
      </c>
      <c r="AC8" s="109"/>
      <c r="AD8" s="7" t="s">
        <v>171</v>
      </c>
      <c r="AE8" s="7" t="s">
        <v>170</v>
      </c>
      <c r="AF8" s="67" t="s">
        <v>80</v>
      </c>
      <c r="AG8" s="79"/>
      <c r="AH8" s="7" t="s">
        <v>184</v>
      </c>
      <c r="AI8" s="7" t="s">
        <v>176</v>
      </c>
      <c r="AJ8" s="7" t="s">
        <v>172</v>
      </c>
      <c r="AK8" s="67" t="s">
        <v>173</v>
      </c>
      <c r="AL8" s="67" t="s">
        <v>174</v>
      </c>
      <c r="AM8" s="75"/>
      <c r="AN8" s="10"/>
      <c r="AO8" s="10"/>
      <c r="AP8" s="10"/>
      <c r="AQ8" s="8"/>
      <c r="AR8" s="8"/>
      <c r="AS8" s="8"/>
    </row>
    <row r="9" spans="1:57" x14ac:dyDescent="0.25">
      <c r="A9" s="41"/>
      <c r="B9" s="43"/>
      <c r="C9" s="44" t="s">
        <v>42</v>
      </c>
      <c r="D9" s="42" t="s">
        <v>43</v>
      </c>
      <c r="E9" s="42" t="s">
        <v>45</v>
      </c>
      <c r="F9" s="42" t="s">
        <v>60</v>
      </c>
      <c r="G9" s="42" t="s">
        <v>5</v>
      </c>
      <c r="H9" s="42" t="s">
        <v>5</v>
      </c>
      <c r="I9" s="42" t="s">
        <v>5</v>
      </c>
      <c r="J9" s="42" t="s">
        <v>5</v>
      </c>
      <c r="K9" s="42" t="s">
        <v>5</v>
      </c>
      <c r="L9" s="42" t="s">
        <v>5</v>
      </c>
      <c r="M9" s="42" t="s">
        <v>5</v>
      </c>
      <c r="N9" s="42" t="s">
        <v>5</v>
      </c>
      <c r="O9" s="42" t="s">
        <v>5</v>
      </c>
      <c r="P9" s="42" t="s">
        <v>5</v>
      </c>
      <c r="Q9" s="42" t="s">
        <v>5</v>
      </c>
      <c r="R9" s="42" t="s">
        <v>5</v>
      </c>
      <c r="S9" s="42" t="s">
        <v>5</v>
      </c>
      <c r="T9" s="40" t="s">
        <v>70</v>
      </c>
      <c r="U9" s="40" t="s">
        <v>56</v>
      </c>
      <c r="V9" s="42" t="s">
        <v>81</v>
      </c>
      <c r="W9" s="42" t="s">
        <v>58</v>
      </c>
      <c r="X9" s="42" t="s">
        <v>56</v>
      </c>
      <c r="Y9" s="6"/>
      <c r="Z9" s="42" t="s">
        <v>68</v>
      </c>
      <c r="AA9" s="42" t="s">
        <v>68</v>
      </c>
      <c r="AB9" s="109"/>
      <c r="AC9" s="109"/>
      <c r="AD9" s="40" t="s">
        <v>5</v>
      </c>
      <c r="AE9" s="40" t="s">
        <v>72</v>
      </c>
      <c r="AF9" s="40" t="s">
        <v>72</v>
      </c>
      <c r="AH9" s="40" t="s">
        <v>5</v>
      </c>
      <c r="AI9" s="40" t="s">
        <v>5</v>
      </c>
      <c r="AJ9" s="40" t="s">
        <v>70</v>
      </c>
      <c r="AK9" s="40" t="s">
        <v>56</v>
      </c>
      <c r="AL9" s="74" t="s">
        <v>70</v>
      </c>
      <c r="AM9" s="76"/>
      <c r="AN9" s="17"/>
      <c r="AO9" s="17"/>
      <c r="AP9" s="17"/>
      <c r="AQ9" s="8"/>
      <c r="AR9" s="8"/>
    </row>
    <row r="10" spans="1:57" x14ac:dyDescent="0.25">
      <c r="A10" s="57" t="s">
        <v>99</v>
      </c>
      <c r="B10" s="49" t="s">
        <v>7</v>
      </c>
      <c r="C10" s="46">
        <v>1549</v>
      </c>
      <c r="D10" s="19">
        <v>6.7084641456604004</v>
      </c>
      <c r="E10" s="54">
        <v>7.0309722796082497E-3</v>
      </c>
      <c r="F10" s="65">
        <v>46.43499755859375</v>
      </c>
      <c r="G10" s="16">
        <v>44.705646514892578</v>
      </c>
      <c r="H10" s="16">
        <v>12.336423873901367</v>
      </c>
      <c r="I10" s="16">
        <v>3.9128072261810303</v>
      </c>
      <c r="J10" s="16">
        <v>1.2368967533111572</v>
      </c>
      <c r="K10" s="16">
        <v>0.3198467493057251</v>
      </c>
      <c r="L10" s="16">
        <v>0.11038185656070709</v>
      </c>
      <c r="M10" s="16">
        <v>3.5330526530742645E-2</v>
      </c>
      <c r="N10" s="16">
        <v>1.1408812366425991E-2</v>
      </c>
      <c r="O10" s="16">
        <v>4.5605627819895744E-3</v>
      </c>
      <c r="P10" s="16">
        <v>1.0815149871632457E-3</v>
      </c>
      <c r="Q10" s="16">
        <v>3.5815255250781775E-4</v>
      </c>
      <c r="R10" s="16">
        <v>1.462356885895133E-4</v>
      </c>
      <c r="S10" s="16">
        <v>6.8826811912003905E-5</v>
      </c>
      <c r="T10" s="47">
        <v>84088.234375</v>
      </c>
      <c r="U10">
        <v>100</v>
      </c>
      <c r="V10" s="32">
        <v>60</v>
      </c>
      <c r="W10" s="33">
        <v>38000</v>
      </c>
      <c r="X10" s="34">
        <v>25</v>
      </c>
      <c r="Z10" s="80">
        <f>0</f>
        <v>0</v>
      </c>
      <c r="AA10" s="83">
        <v>185</v>
      </c>
      <c r="AB10" s="96"/>
      <c r="AC10" s="87"/>
      <c r="AD10" s="16">
        <v>3.5330526530742645E-2</v>
      </c>
      <c r="AE10" s="72">
        <v>714.69268798828125</v>
      </c>
      <c r="AF10" s="72">
        <v>714.69268798828125</v>
      </c>
      <c r="AH10" s="77">
        <v>0.86735457181930542</v>
      </c>
      <c r="AI10" s="16">
        <v>0.86735457181930542</v>
      </c>
      <c r="AJ10" s="47">
        <v>314692.78125</v>
      </c>
      <c r="AK10">
        <v>65</v>
      </c>
      <c r="AL10" s="47">
        <v>297976.1875</v>
      </c>
      <c r="AM10" s="47"/>
      <c r="AN10" s="47"/>
      <c r="AO10" s="102"/>
      <c r="AP10">
        <v>65</v>
      </c>
      <c r="AQ10">
        <v>65</v>
      </c>
      <c r="AR10">
        <f>AQ10-AP10</f>
        <v>0</v>
      </c>
      <c r="AW10">
        <v>65</v>
      </c>
      <c r="BA10">
        <v>65</v>
      </c>
      <c r="BE10">
        <v>80</v>
      </c>
    </row>
    <row r="11" spans="1:57" x14ac:dyDescent="0.25">
      <c r="A11" s="58" t="s">
        <v>100</v>
      </c>
      <c r="B11" s="50" t="s">
        <v>8</v>
      </c>
      <c r="C11" s="45">
        <v>222</v>
      </c>
      <c r="D11" s="19">
        <v>0.96144551038742065</v>
      </c>
      <c r="E11" s="54">
        <v>1.0076668113470078E-3</v>
      </c>
      <c r="F11" s="65">
        <v>4.7689995765686035</v>
      </c>
      <c r="G11" s="16">
        <v>9.8068155348300934E-2</v>
      </c>
      <c r="H11" s="16">
        <v>2.7589600533246994E-2</v>
      </c>
      <c r="I11" s="16">
        <v>8.8412705808877945E-3</v>
      </c>
      <c r="J11" s="16">
        <v>2.8637801297008991E-3</v>
      </c>
      <c r="K11" s="16">
        <v>7.6822796836495399E-4</v>
      </c>
      <c r="L11" s="16">
        <v>2.7407205197960138E-4</v>
      </c>
      <c r="M11" s="16">
        <v>9.1284549853298813E-5</v>
      </c>
      <c r="N11" s="16">
        <v>3.0688315746374428E-5</v>
      </c>
      <c r="O11" s="16">
        <v>1.2668044291785918E-5</v>
      </c>
      <c r="P11" s="16">
        <v>3.1569004477205453E-6</v>
      </c>
      <c r="Q11" s="16">
        <v>1.0817294651133125E-6</v>
      </c>
      <c r="R11" s="16">
        <v>4.5248103219819313E-7</v>
      </c>
      <c r="S11" s="16">
        <v>2.1696801866255555E-7</v>
      </c>
      <c r="T11" s="47">
        <v>4929.43408203125</v>
      </c>
      <c r="U11">
        <v>40</v>
      </c>
      <c r="V11" s="32">
        <v>63</v>
      </c>
      <c r="W11" s="33">
        <v>45000</v>
      </c>
      <c r="X11" s="34">
        <v>32</v>
      </c>
      <c r="Z11" s="81">
        <f>0</f>
        <v>0</v>
      </c>
      <c r="AA11" s="84">
        <v>19</v>
      </c>
      <c r="AB11" s="96"/>
      <c r="AC11" s="89"/>
      <c r="AD11" s="16">
        <v>8.8412705808877945E-3</v>
      </c>
      <c r="AE11" s="72">
        <v>8707.2451171875</v>
      </c>
      <c r="AF11" s="72">
        <v>8707.2451171875</v>
      </c>
      <c r="AH11" s="77">
        <v>0.27105748653411865</v>
      </c>
      <c r="AI11" s="16">
        <v>0.27105748653411865</v>
      </c>
      <c r="AJ11" s="47">
        <v>15345.24609375</v>
      </c>
      <c r="AK11">
        <v>25</v>
      </c>
      <c r="AL11" s="47">
        <v>14391.4462890625</v>
      </c>
      <c r="AM11" s="47"/>
      <c r="AN11" s="47"/>
      <c r="AO11" s="102"/>
      <c r="AP11">
        <v>25</v>
      </c>
      <c r="AQ11">
        <v>25</v>
      </c>
      <c r="AR11">
        <f t="shared" ref="AR11:AR55" si="0">AQ11-AP11</f>
        <v>0</v>
      </c>
      <c r="AW11">
        <v>25</v>
      </c>
      <c r="BA11">
        <v>25</v>
      </c>
      <c r="BE11">
        <v>32</v>
      </c>
    </row>
    <row r="12" spans="1:57" x14ac:dyDescent="0.25">
      <c r="A12" s="58" t="s">
        <v>101</v>
      </c>
      <c r="B12" s="50" t="s">
        <v>9</v>
      </c>
      <c r="C12" s="45">
        <v>149</v>
      </c>
      <c r="D12" s="19">
        <v>0.64529448747634888</v>
      </c>
      <c r="E12" s="54">
        <v>6.7631690762937069E-4</v>
      </c>
      <c r="F12" s="65">
        <v>98.893997192382813</v>
      </c>
      <c r="G12" s="16">
        <v>0.95073205232620239</v>
      </c>
      <c r="H12" s="16">
        <v>0.27105748653411865</v>
      </c>
      <c r="I12" s="16">
        <v>8.8152609765529633E-2</v>
      </c>
      <c r="J12" s="16">
        <v>2.9039241373538971E-2</v>
      </c>
      <c r="K12" s="16">
        <v>7.9699838533997536E-3</v>
      </c>
      <c r="L12" s="16">
        <v>2.8991412837058306E-3</v>
      </c>
      <c r="M12" s="16">
        <v>9.8736851941794157E-4</v>
      </c>
      <c r="N12" s="16">
        <v>3.3959286520257592E-4</v>
      </c>
      <c r="O12" s="16">
        <v>1.4297093730419874E-4</v>
      </c>
      <c r="P12" s="16">
        <v>3.6869398172711954E-5</v>
      </c>
      <c r="Q12" s="16">
        <v>1.2998197234992404E-5</v>
      </c>
      <c r="R12" s="16">
        <v>5.5747027545294259E-6</v>
      </c>
      <c r="S12" s="16">
        <v>2.7343432975612814E-6</v>
      </c>
      <c r="T12" s="47">
        <v>96231.1015625</v>
      </c>
      <c r="U12">
        <v>32</v>
      </c>
      <c r="V12" s="32">
        <v>66</v>
      </c>
      <c r="W12" s="33">
        <v>48000</v>
      </c>
      <c r="X12" s="34">
        <v>40</v>
      </c>
      <c r="Z12" s="81">
        <f>2*$Q$3+1*$Q$1</f>
        <v>2.08</v>
      </c>
      <c r="AA12" s="94">
        <v>394</v>
      </c>
      <c r="AB12" s="88"/>
      <c r="AC12" s="95"/>
      <c r="AD12" s="16">
        <v>0.27105748653411865</v>
      </c>
      <c r="AE12" s="72">
        <v>592599</v>
      </c>
      <c r="AF12" s="72">
        <v>592599</v>
      </c>
      <c r="AH12" s="78">
        <v>0.27105748653411865</v>
      </c>
      <c r="AI12" s="16">
        <v>0.27105748653411865</v>
      </c>
      <c r="AJ12" s="47">
        <v>96231.1015625</v>
      </c>
      <c r="AK12">
        <v>32</v>
      </c>
      <c r="AL12" s="47">
        <v>96231.1015625</v>
      </c>
      <c r="AM12" s="47"/>
      <c r="AN12" s="47"/>
      <c r="AO12" s="102"/>
      <c r="AP12">
        <v>32</v>
      </c>
      <c r="AQ12">
        <v>32</v>
      </c>
      <c r="AR12">
        <f t="shared" si="0"/>
        <v>0</v>
      </c>
      <c r="AW12">
        <v>32</v>
      </c>
      <c r="BA12">
        <v>25</v>
      </c>
      <c r="BE12">
        <v>50</v>
      </c>
    </row>
    <row r="13" spans="1:57" x14ac:dyDescent="0.25">
      <c r="A13" s="58" t="s">
        <v>102</v>
      </c>
      <c r="B13" s="50" t="s">
        <v>10</v>
      </c>
      <c r="C13" s="45">
        <v>2772</v>
      </c>
      <c r="D13" s="19">
        <v>12.00507640838623</v>
      </c>
      <c r="E13" s="54">
        <v>1.2582218274474144E-2</v>
      </c>
      <c r="F13" s="65">
        <v>293.16799926757813</v>
      </c>
      <c r="G13" s="16">
        <v>919.5653076171875</v>
      </c>
      <c r="H13" s="16">
        <v>255.26559448242188</v>
      </c>
      <c r="I13" s="16">
        <v>80.424911499023438</v>
      </c>
      <c r="J13" s="16">
        <v>25.494424819946289</v>
      </c>
      <c r="K13" s="16">
        <v>6.7252888679504395</v>
      </c>
      <c r="L13" s="16">
        <v>2.341299295425415</v>
      </c>
      <c r="M13" s="16">
        <v>0.75798922777175903</v>
      </c>
      <c r="N13" s="16">
        <v>0.24812614917755127</v>
      </c>
      <c r="O13" s="16">
        <v>0.10054492205381393</v>
      </c>
      <c r="P13" s="16">
        <v>2.4491416290402412E-2</v>
      </c>
      <c r="Q13" s="16">
        <v>8.3298329263925552E-3</v>
      </c>
      <c r="R13" s="16">
        <v>3.4918845631182194E-3</v>
      </c>
      <c r="S13" s="16">
        <v>1.6865853685885668E-3</v>
      </c>
      <c r="T13" s="47">
        <v>680087.5625</v>
      </c>
      <c r="U13">
        <v>125</v>
      </c>
      <c r="V13" s="32">
        <v>70</v>
      </c>
      <c r="W13" s="33">
        <v>52000</v>
      </c>
      <c r="X13" s="34">
        <v>50</v>
      </c>
      <c r="Z13" s="81">
        <f>5*$Q$3</f>
        <v>5</v>
      </c>
      <c r="AA13" s="84">
        <v>1168</v>
      </c>
      <c r="AB13" s="88"/>
      <c r="AC13" s="89"/>
      <c r="AD13" s="16">
        <v>0.24812614917755127</v>
      </c>
      <c r="AE13" s="72">
        <v>1567.321533203125</v>
      </c>
      <c r="AF13" s="72">
        <v>1567.321533203125</v>
      </c>
      <c r="AH13" s="77">
        <v>0.30049854516983032</v>
      </c>
      <c r="AI13" s="16">
        <v>0.30049854516983032</v>
      </c>
      <c r="AJ13" s="47">
        <v>706063.75</v>
      </c>
      <c r="AK13">
        <v>125</v>
      </c>
      <c r="AL13" s="47">
        <v>706063.75</v>
      </c>
      <c r="AM13" s="47"/>
      <c r="AN13" s="47"/>
      <c r="AO13" s="102"/>
      <c r="AP13">
        <v>125</v>
      </c>
      <c r="AQ13">
        <v>125</v>
      </c>
      <c r="AR13">
        <f t="shared" si="0"/>
        <v>0</v>
      </c>
      <c r="AW13">
        <v>125</v>
      </c>
      <c r="BA13">
        <v>125</v>
      </c>
      <c r="BE13">
        <v>150</v>
      </c>
    </row>
    <row r="14" spans="1:57" x14ac:dyDescent="0.25">
      <c r="A14" s="58" t="s">
        <v>103</v>
      </c>
      <c r="B14" s="50" t="s">
        <v>11</v>
      </c>
      <c r="C14" s="45">
        <v>1364</v>
      </c>
      <c r="D14" s="19">
        <v>5.9072599411010742</v>
      </c>
      <c r="E14" s="54">
        <v>6.1912504024803638E-3</v>
      </c>
      <c r="F14" s="65">
        <v>480.66497802734375</v>
      </c>
      <c r="G14" s="16">
        <v>362.62179565429688</v>
      </c>
      <c r="H14" s="16">
        <v>100.43116760253906</v>
      </c>
      <c r="I14" s="16">
        <v>32.041496276855469</v>
      </c>
      <c r="J14" s="16">
        <v>10.190616607666016</v>
      </c>
      <c r="K14" s="16">
        <v>2.6602888107299805</v>
      </c>
      <c r="L14" s="16">
        <v>0.92684328556060791</v>
      </c>
      <c r="M14" s="16">
        <v>0.30049854516983032</v>
      </c>
      <c r="N14" s="16">
        <v>9.850618988275528E-2</v>
      </c>
      <c r="O14" s="16">
        <v>3.995107114315033E-2</v>
      </c>
      <c r="P14" s="16">
        <v>9.7368601709604263E-3</v>
      </c>
      <c r="Q14" s="16">
        <v>3.3052670769393444E-3</v>
      </c>
      <c r="R14" s="16">
        <v>1.3795774430036545E-3</v>
      </c>
      <c r="S14" s="16">
        <v>6.6281721228733659E-4</v>
      </c>
      <c r="T14" s="47">
        <v>842403.3125</v>
      </c>
      <c r="U14">
        <v>100</v>
      </c>
      <c r="V14" s="32">
        <v>74</v>
      </c>
      <c r="W14" s="33">
        <v>62000</v>
      </c>
      <c r="X14" s="34">
        <v>65</v>
      </c>
      <c r="Z14" s="81">
        <f>5*$Q$3</f>
        <v>5</v>
      </c>
      <c r="AA14" s="84">
        <v>1915</v>
      </c>
      <c r="AB14" s="88"/>
      <c r="AC14" s="89"/>
      <c r="AD14" s="16">
        <v>0.30049854516983032</v>
      </c>
      <c r="AE14" s="72">
        <v>7839.45068359375</v>
      </c>
      <c r="AF14" s="72">
        <v>7839.45068359375</v>
      </c>
      <c r="AH14" s="77">
        <v>0.30049854516983032</v>
      </c>
      <c r="AI14" s="16">
        <v>0.30049854516983032</v>
      </c>
      <c r="AJ14" s="47">
        <v>842403.3125</v>
      </c>
      <c r="AK14">
        <v>100</v>
      </c>
      <c r="AL14" s="47">
        <v>842403.3125</v>
      </c>
      <c r="AM14" s="47"/>
      <c r="AN14" s="47"/>
      <c r="AO14" s="102"/>
      <c r="AP14">
        <v>100</v>
      </c>
      <c r="AQ14">
        <v>100</v>
      </c>
      <c r="AR14">
        <f t="shared" si="0"/>
        <v>0</v>
      </c>
      <c r="AW14">
        <v>100</v>
      </c>
      <c r="BA14">
        <v>100</v>
      </c>
      <c r="BE14">
        <v>125</v>
      </c>
    </row>
    <row r="15" spans="1:57" x14ac:dyDescent="0.25">
      <c r="A15" s="58" t="s">
        <v>104</v>
      </c>
      <c r="B15" s="50" t="s">
        <v>12</v>
      </c>
      <c r="C15" s="45">
        <v>1998</v>
      </c>
      <c r="D15" s="19">
        <v>8.6530094146728516</v>
      </c>
      <c r="E15" s="54">
        <v>9.0690013021230698E-3</v>
      </c>
      <c r="F15" s="65">
        <v>246.98399353027344</v>
      </c>
      <c r="G15" s="16">
        <v>403.75799560546875</v>
      </c>
      <c r="H15" s="16">
        <v>112.20247650146484</v>
      </c>
      <c r="I15" s="16">
        <v>35.396091461181641</v>
      </c>
      <c r="J15" s="16">
        <v>11.407329559326172</v>
      </c>
      <c r="K15" s="16">
        <v>2.9899659156799316</v>
      </c>
      <c r="L15" s="16">
        <v>1.0456866025924683</v>
      </c>
      <c r="M15" s="16">
        <v>0.34064683318138123</v>
      </c>
      <c r="N15" s="16">
        <v>0.11233857274055481</v>
      </c>
      <c r="O15" s="16">
        <v>4.5833326876163483E-2</v>
      </c>
      <c r="P15" s="16">
        <v>1.1303725652396679E-2</v>
      </c>
      <c r="Q15" s="16">
        <v>3.8831331767141819E-3</v>
      </c>
      <c r="R15" s="16">
        <v>1.6407322837039828E-3</v>
      </c>
      <c r="S15" s="16">
        <v>7.9760717926546931E-4</v>
      </c>
      <c r="T15" s="47">
        <v>509430.59375</v>
      </c>
      <c r="U15">
        <v>125</v>
      </c>
      <c r="V15" s="32">
        <v>78</v>
      </c>
      <c r="W15" s="33">
        <v>70000</v>
      </c>
      <c r="X15" s="34">
        <v>80</v>
      </c>
      <c r="Z15" s="81">
        <f>5*$Q$3</f>
        <v>5</v>
      </c>
      <c r="AA15" s="84">
        <v>984</v>
      </c>
      <c r="AB15" s="88"/>
      <c r="AC15" s="89"/>
      <c r="AD15" s="16">
        <v>0.11233857274055481</v>
      </c>
      <c r="AE15" s="72">
        <v>1365.8719482421875</v>
      </c>
      <c r="AF15" s="72">
        <v>1365.8719482421875</v>
      </c>
      <c r="AH15" s="77">
        <v>1.3742685317993164</v>
      </c>
      <c r="AI15" s="16">
        <v>1.3742685317993164</v>
      </c>
      <c r="AJ15" s="47">
        <v>960570.625</v>
      </c>
      <c r="AK15">
        <v>80</v>
      </c>
      <c r="AL15" s="47">
        <v>837078.625</v>
      </c>
      <c r="AM15" s="47"/>
      <c r="AN15" s="47"/>
      <c r="AO15" s="102"/>
      <c r="AP15">
        <v>80</v>
      </c>
      <c r="AQ15">
        <v>100</v>
      </c>
      <c r="AR15">
        <f t="shared" si="0"/>
        <v>20</v>
      </c>
      <c r="AW15">
        <v>100</v>
      </c>
      <c r="BA15">
        <v>80</v>
      </c>
      <c r="BE15">
        <v>100</v>
      </c>
    </row>
    <row r="16" spans="1:57" x14ac:dyDescent="0.25">
      <c r="A16" s="58" t="s">
        <v>105</v>
      </c>
      <c r="B16" s="50" t="s">
        <v>13</v>
      </c>
      <c r="C16" s="45">
        <v>2075</v>
      </c>
      <c r="D16" s="19">
        <v>8.9864835739135742</v>
      </c>
      <c r="E16" s="54">
        <v>9.4185071066021919E-3</v>
      </c>
      <c r="F16" s="65">
        <v>59.737995147705078</v>
      </c>
      <c r="G16" s="16">
        <v>104.96137237548828</v>
      </c>
      <c r="H16" s="16">
        <v>29.133485794067383</v>
      </c>
      <c r="I16" s="16">
        <v>9.1777362823486328</v>
      </c>
      <c r="J16" s="16">
        <v>2.951277494430542</v>
      </c>
      <c r="K16" s="16">
        <v>0.7713208794593811</v>
      </c>
      <c r="L16" s="16">
        <v>0.26898542046546936</v>
      </c>
      <c r="M16" s="16">
        <v>8.7296955287456512E-2</v>
      </c>
      <c r="N16" s="16">
        <v>2.8660722076892853E-2</v>
      </c>
      <c r="O16" s="16">
        <v>1.1644832789897919E-2</v>
      </c>
      <c r="P16" s="16">
        <v>2.8500710614025593E-3</v>
      </c>
      <c r="Q16" s="16">
        <v>9.7265199292451143E-4</v>
      </c>
      <c r="R16" s="16">
        <v>4.0864167385734618E-4</v>
      </c>
      <c r="S16" s="16">
        <v>1.9765808247029781E-4</v>
      </c>
      <c r="T16" s="47">
        <v>124143.2734375</v>
      </c>
      <c r="U16">
        <v>125</v>
      </c>
      <c r="V16" s="32">
        <v>82</v>
      </c>
      <c r="W16" s="33">
        <v>80000</v>
      </c>
      <c r="X16" s="34">
        <v>100</v>
      </c>
      <c r="Z16" s="81">
        <f>1*$Q$3</f>
        <v>1</v>
      </c>
      <c r="AA16" s="84">
        <v>238</v>
      </c>
      <c r="AB16" s="88"/>
      <c r="AC16" s="89"/>
      <c r="AD16" s="16">
        <v>2.8660722076892853E-2</v>
      </c>
      <c r="AE16" s="72">
        <v>323.089599609375</v>
      </c>
      <c r="AF16" s="72">
        <v>323.089599609375</v>
      </c>
      <c r="AH16" s="77">
        <v>1.3130407333374023</v>
      </c>
      <c r="AI16" s="16">
        <v>1.3130407333374023</v>
      </c>
      <c r="AJ16" s="47">
        <v>601004.75</v>
      </c>
      <c r="AK16">
        <v>65</v>
      </c>
      <c r="AL16" s="47">
        <v>561577.625</v>
      </c>
      <c r="AM16" s="47"/>
      <c r="AN16" s="47"/>
      <c r="AO16" s="102"/>
      <c r="AP16">
        <v>65</v>
      </c>
      <c r="AQ16">
        <v>65</v>
      </c>
      <c r="AR16">
        <f t="shared" si="0"/>
        <v>0</v>
      </c>
      <c r="AW16">
        <v>80</v>
      </c>
      <c r="BA16">
        <v>65</v>
      </c>
      <c r="BE16">
        <v>80</v>
      </c>
    </row>
    <row r="17" spans="1:57" x14ac:dyDescent="0.25">
      <c r="A17" s="58" t="s">
        <v>106</v>
      </c>
      <c r="B17" s="50" t="s">
        <v>14</v>
      </c>
      <c r="C17" s="45">
        <v>1355</v>
      </c>
      <c r="D17" s="19">
        <v>5.8682823181152344</v>
      </c>
      <c r="E17" s="54">
        <v>6.1503988690674305E-3</v>
      </c>
      <c r="F17" s="65">
        <v>9.0359992980957031</v>
      </c>
      <c r="G17" s="16">
        <v>6.6568527221679688</v>
      </c>
      <c r="H17" s="16">
        <v>1.8369437456130981</v>
      </c>
      <c r="I17" s="16">
        <v>0.58374059200286865</v>
      </c>
      <c r="J17" s="16">
        <v>0.18467968702316284</v>
      </c>
      <c r="K17" s="16">
        <v>4.7822635620832443E-2</v>
      </c>
      <c r="L17" s="16">
        <v>1.6527947038412094E-2</v>
      </c>
      <c r="M17" s="16">
        <v>5.3019141778349876E-3</v>
      </c>
      <c r="N17" s="16">
        <v>1.715697580948472E-3</v>
      </c>
      <c r="O17" s="16">
        <v>6.8726448807865381E-4</v>
      </c>
      <c r="P17" s="16">
        <v>1.6357898130081594E-4</v>
      </c>
      <c r="Q17" s="16">
        <v>5.4333468142431229E-5</v>
      </c>
      <c r="R17" s="16">
        <v>2.2221473045647144E-5</v>
      </c>
      <c r="S17" s="16">
        <v>1.047546902555041E-5</v>
      </c>
      <c r="T17" s="47">
        <v>15743.041015625</v>
      </c>
      <c r="U17">
        <v>100</v>
      </c>
      <c r="V17" s="32">
        <v>87</v>
      </c>
      <c r="W17" s="33">
        <v>95000</v>
      </c>
      <c r="X17" s="34">
        <v>125</v>
      </c>
      <c r="Z17" s="81">
        <f>0</f>
        <v>0</v>
      </c>
      <c r="AA17" s="85">
        <v>36</v>
      </c>
      <c r="AB17" s="88"/>
      <c r="AC17" s="89"/>
      <c r="AD17" s="16">
        <v>5.3019141778349876E-3</v>
      </c>
      <c r="AE17" s="72">
        <v>140.16065979003906</v>
      </c>
      <c r="AF17" s="72">
        <v>140.16065979003906</v>
      </c>
      <c r="AH17" s="77">
        <v>0.19867758452892303</v>
      </c>
      <c r="AI17" s="16">
        <v>0.19867758452892303</v>
      </c>
      <c r="AJ17" s="47">
        <v>62626.72265625</v>
      </c>
      <c r="AK17">
        <v>50</v>
      </c>
      <c r="AL17" s="47">
        <v>57566.5625</v>
      </c>
      <c r="AM17" s="47"/>
      <c r="AN17" s="47"/>
      <c r="AO17" s="102"/>
      <c r="AP17">
        <v>50</v>
      </c>
      <c r="AQ17">
        <v>50</v>
      </c>
      <c r="AR17">
        <f t="shared" si="0"/>
        <v>0</v>
      </c>
      <c r="AW17">
        <v>50</v>
      </c>
      <c r="BA17">
        <v>40</v>
      </c>
      <c r="BE17">
        <v>65</v>
      </c>
    </row>
    <row r="18" spans="1:57" x14ac:dyDescent="0.25">
      <c r="A18" s="58" t="s">
        <v>107</v>
      </c>
      <c r="B18" s="51" t="s">
        <v>15</v>
      </c>
      <c r="C18" s="45">
        <v>1010</v>
      </c>
      <c r="D18" s="19">
        <v>4.3741440773010254</v>
      </c>
      <c r="E18" s="54">
        <v>4.5844302512705326E-3</v>
      </c>
      <c r="F18" s="65">
        <v>184.98698425292969</v>
      </c>
      <c r="G18" s="16">
        <v>76.550033569335938</v>
      </c>
      <c r="H18" s="16">
        <v>21.501104354858398</v>
      </c>
      <c r="I18" s="16">
        <v>6.8006582260131836</v>
      </c>
      <c r="J18" s="16">
        <v>2.1679105758666992</v>
      </c>
      <c r="K18" s="16">
        <v>0.56809592247009277</v>
      </c>
      <c r="L18" s="16">
        <v>0.19867758452892303</v>
      </c>
      <c r="M18" s="16">
        <v>6.4731970429420471E-2</v>
      </c>
      <c r="N18" s="16">
        <v>2.1339248865842819E-2</v>
      </c>
      <c r="O18" s="16">
        <v>8.6952783167362213E-3</v>
      </c>
      <c r="P18" s="16">
        <v>2.1355715580284595E-3</v>
      </c>
      <c r="Q18" s="16">
        <v>7.2866177652031183E-4</v>
      </c>
      <c r="R18" s="16">
        <v>3.0546938069164753E-4</v>
      </c>
      <c r="S18" s="16">
        <v>1.4718942111358047E-4</v>
      </c>
      <c r="T18" s="47">
        <v>294886.4375</v>
      </c>
      <c r="U18">
        <v>80</v>
      </c>
      <c r="V18" s="32">
        <v>92</v>
      </c>
      <c r="W18" s="33">
        <v>110000</v>
      </c>
      <c r="X18" s="34">
        <v>150</v>
      </c>
      <c r="Z18" s="81">
        <f>2*$Q$3</f>
        <v>2</v>
      </c>
      <c r="AA18" s="84">
        <v>737</v>
      </c>
      <c r="AB18" s="93"/>
      <c r="AC18" s="89"/>
      <c r="AD18" s="16">
        <v>0.19867758452892303</v>
      </c>
      <c r="AE18" s="72">
        <v>9453.1845703125</v>
      </c>
      <c r="AF18" s="72">
        <v>9453.1845703125</v>
      </c>
      <c r="AH18" s="77">
        <v>0.19867758452892303</v>
      </c>
      <c r="AI18" s="16">
        <v>0.19867758452892303</v>
      </c>
      <c r="AJ18" s="47">
        <v>294886.4375</v>
      </c>
      <c r="AK18">
        <v>80</v>
      </c>
      <c r="AL18" s="47">
        <v>294886.4375</v>
      </c>
      <c r="AM18" s="47"/>
      <c r="AN18" s="47"/>
      <c r="AO18" s="102"/>
      <c r="AP18">
        <v>80</v>
      </c>
      <c r="AQ18">
        <v>80</v>
      </c>
      <c r="AR18">
        <f t="shared" si="0"/>
        <v>0</v>
      </c>
      <c r="AW18">
        <v>80</v>
      </c>
      <c r="BA18">
        <v>65</v>
      </c>
      <c r="BE18">
        <v>100</v>
      </c>
    </row>
    <row r="19" spans="1:57" x14ac:dyDescent="0.25">
      <c r="A19" s="58" t="s">
        <v>108</v>
      </c>
      <c r="B19" s="50" t="s">
        <v>16</v>
      </c>
      <c r="C19" s="45">
        <v>225</v>
      </c>
      <c r="D19" s="19">
        <v>0.97443801164627075</v>
      </c>
      <c r="E19" s="54">
        <v>1.0212839115411043E-3</v>
      </c>
      <c r="F19" s="65">
        <v>43.924999237060547</v>
      </c>
      <c r="G19" s="16">
        <v>0.92738920450210571</v>
      </c>
      <c r="H19" s="16">
        <v>0.26084825396537781</v>
      </c>
      <c r="I19" s="16">
        <v>8.357054740190506E-2</v>
      </c>
      <c r="J19" s="16">
        <v>2.7062006294727325E-2</v>
      </c>
      <c r="K19" s="16">
        <v>7.2569181211292744E-3</v>
      </c>
      <c r="L19" s="16">
        <v>2.5882201734930277E-3</v>
      </c>
      <c r="M19" s="16">
        <v>8.6178991477936506E-4</v>
      </c>
      <c r="N19" s="16">
        <v>2.8963963268324733E-4</v>
      </c>
      <c r="O19" s="16">
        <v>1.1953859939239919E-4</v>
      </c>
      <c r="P19" s="16">
        <v>2.9781142075080425E-5</v>
      </c>
      <c r="Q19" s="16">
        <v>1.0202821613347623E-5</v>
      </c>
      <c r="R19" s="16">
        <v>4.2672295421652962E-6</v>
      </c>
      <c r="S19" s="16">
        <v>2.0459635834413348E-6</v>
      </c>
      <c r="T19" s="47">
        <v>45532.46875</v>
      </c>
      <c r="U19">
        <v>40</v>
      </c>
      <c r="V19" s="32">
        <v>98</v>
      </c>
      <c r="W19" s="33">
        <v>140000</v>
      </c>
      <c r="X19" s="34">
        <v>200</v>
      </c>
      <c r="Z19" s="81">
        <f>0</f>
        <v>0</v>
      </c>
      <c r="AA19" s="84">
        <v>175</v>
      </c>
      <c r="AB19" s="93"/>
      <c r="AC19" s="90"/>
      <c r="AD19" s="16">
        <v>8.357054740190506E-2</v>
      </c>
      <c r="AE19" s="72">
        <v>80123.5625</v>
      </c>
      <c r="AF19" s="72">
        <v>80123.5625</v>
      </c>
      <c r="AH19" s="77">
        <v>8.357054740190506E-2</v>
      </c>
      <c r="AI19" s="16">
        <v>8.357054740190506E-2</v>
      </c>
      <c r="AJ19" s="47">
        <v>45532.46875</v>
      </c>
      <c r="AK19">
        <v>40</v>
      </c>
      <c r="AL19" s="47">
        <v>45532.46875</v>
      </c>
      <c r="AM19" s="47"/>
      <c r="AN19" s="47"/>
      <c r="AO19" s="102"/>
      <c r="AP19">
        <v>40</v>
      </c>
      <c r="AQ19">
        <v>40</v>
      </c>
      <c r="AR19">
        <f t="shared" si="0"/>
        <v>0</v>
      </c>
      <c r="AW19">
        <v>40</v>
      </c>
      <c r="BA19">
        <v>32</v>
      </c>
      <c r="BE19">
        <v>40</v>
      </c>
    </row>
    <row r="20" spans="1:57" x14ac:dyDescent="0.25">
      <c r="A20" s="58" t="s">
        <v>109</v>
      </c>
      <c r="B20" s="50" t="s">
        <v>17</v>
      </c>
      <c r="C20" s="45">
        <v>270</v>
      </c>
      <c r="D20" s="19">
        <v>1.169325590133667</v>
      </c>
      <c r="E20" s="54">
        <v>1.2255406472831964E-3</v>
      </c>
      <c r="F20" s="65">
        <v>7.7809996604919434</v>
      </c>
      <c r="G20" s="16">
        <v>0.23514197766780853</v>
      </c>
      <c r="H20" s="16">
        <v>6.5961375832557678E-2</v>
      </c>
      <c r="I20" s="16">
        <v>2.1067529916763306E-2</v>
      </c>
      <c r="J20" s="16">
        <v>6.7978608421981335E-3</v>
      </c>
      <c r="K20" s="16">
        <v>1.8140956526622176E-3</v>
      </c>
      <c r="L20" s="16">
        <v>6.4448179909959435E-4</v>
      </c>
      <c r="M20" s="16">
        <v>2.1369750902522355E-4</v>
      </c>
      <c r="N20" s="16">
        <v>7.1549548010807484E-5</v>
      </c>
      <c r="O20" s="16">
        <v>2.9448010536725633E-5</v>
      </c>
      <c r="P20" s="16">
        <v>7.3085757321678102E-6</v>
      </c>
      <c r="Q20" s="16">
        <v>2.4975363430712605E-6</v>
      </c>
      <c r="R20" s="16">
        <v>1.0427030474602361E-6</v>
      </c>
      <c r="S20" s="16">
        <v>4.9924216227736906E-7</v>
      </c>
      <c r="T20" s="47">
        <v>8420.6494140625</v>
      </c>
      <c r="U20">
        <v>50</v>
      </c>
      <c r="V20" s="32">
        <v>104</v>
      </c>
      <c r="W20" s="33">
        <v>170000</v>
      </c>
      <c r="X20" s="34">
        <v>250</v>
      </c>
      <c r="Z20" s="81">
        <f>0</f>
        <v>0</v>
      </c>
      <c r="AA20" s="84">
        <v>31</v>
      </c>
      <c r="AB20" s="88"/>
      <c r="AC20" s="91"/>
      <c r="AD20" s="16">
        <v>6.7978608421981335E-3</v>
      </c>
      <c r="AE20" s="72">
        <v>4526.02392578125</v>
      </c>
      <c r="AF20" s="72">
        <v>4526.02392578125</v>
      </c>
      <c r="AH20" s="77">
        <v>0.81656491756439209</v>
      </c>
      <c r="AI20" s="16">
        <v>0.81656491756439209</v>
      </c>
      <c r="AJ20" s="47">
        <v>47541.15234375</v>
      </c>
      <c r="AK20">
        <v>25</v>
      </c>
      <c r="AL20" s="47">
        <v>45362.47265625</v>
      </c>
      <c r="AM20" s="47"/>
      <c r="AN20" s="47"/>
      <c r="AO20" s="102"/>
      <c r="AP20">
        <v>25</v>
      </c>
      <c r="AQ20">
        <v>25</v>
      </c>
      <c r="AR20">
        <f t="shared" si="0"/>
        <v>0</v>
      </c>
      <c r="AW20">
        <v>25</v>
      </c>
      <c r="BA20">
        <v>25</v>
      </c>
      <c r="BE20">
        <v>25</v>
      </c>
    </row>
    <row r="21" spans="1:57" x14ac:dyDescent="0.25">
      <c r="A21" s="58" t="s">
        <v>110</v>
      </c>
      <c r="B21" s="50" t="s">
        <v>18</v>
      </c>
      <c r="C21" s="45">
        <v>66</v>
      </c>
      <c r="D21" s="19">
        <v>0.2858351469039917</v>
      </c>
      <c r="E21" s="54">
        <v>2.9957661172375083E-4</v>
      </c>
      <c r="F21" s="65">
        <v>192.01498413085938</v>
      </c>
      <c r="G21" s="16">
        <v>0.37743538618087769</v>
      </c>
      <c r="H21" s="16">
        <v>0.10917698591947556</v>
      </c>
      <c r="I21" s="16">
        <v>3.6001678556203842E-2</v>
      </c>
      <c r="J21" s="16">
        <v>1.2013333849608898E-2</v>
      </c>
      <c r="K21" s="16">
        <v>3.3399721141904593E-3</v>
      </c>
      <c r="L21" s="16">
        <v>1.2239153729751706E-3</v>
      </c>
      <c r="M21" s="16">
        <v>4.1885272366926074E-4</v>
      </c>
      <c r="N21" s="16">
        <v>1.4427772839553654E-4</v>
      </c>
      <c r="O21" s="16">
        <v>6.0641570598818362E-5</v>
      </c>
      <c r="P21" s="16">
        <v>1.5532788893324323E-5</v>
      </c>
      <c r="Q21" s="16">
        <v>5.4298448048939463E-6</v>
      </c>
      <c r="R21" s="16">
        <v>2.3065611003403319E-6</v>
      </c>
      <c r="S21" s="16">
        <v>1.1205003147551906E-6</v>
      </c>
      <c r="T21" s="47">
        <v>150388.640625</v>
      </c>
      <c r="U21">
        <v>32</v>
      </c>
      <c r="V21" s="32">
        <v>111</v>
      </c>
      <c r="W21" s="33">
        <v>205000</v>
      </c>
      <c r="X21" s="34">
        <v>300</v>
      </c>
      <c r="Z21" s="81">
        <f>1*$Q$3</f>
        <v>1</v>
      </c>
      <c r="AA21" s="84">
        <v>765</v>
      </c>
      <c r="AB21" s="88"/>
      <c r="AC21" s="90"/>
      <c r="AD21" s="16">
        <v>0.37743538618087769</v>
      </c>
      <c r="AE21" s="72">
        <v>4205589</v>
      </c>
      <c r="AF21" s="72">
        <v>4205589</v>
      </c>
      <c r="AH21" s="77">
        <v>0.37879139184951782</v>
      </c>
      <c r="AI21" s="16">
        <v>0.37879139184951782</v>
      </c>
      <c r="AJ21" s="47">
        <v>150404.65625</v>
      </c>
      <c r="AK21">
        <v>25</v>
      </c>
      <c r="AL21" s="47">
        <v>150404.65625</v>
      </c>
      <c r="AM21" s="47"/>
      <c r="AN21" s="47"/>
      <c r="AO21" s="103"/>
      <c r="AP21">
        <v>25</v>
      </c>
      <c r="AQ21">
        <v>32</v>
      </c>
      <c r="AR21">
        <f t="shared" si="0"/>
        <v>7</v>
      </c>
      <c r="AW21">
        <v>25</v>
      </c>
      <c r="BA21">
        <v>25</v>
      </c>
      <c r="BE21">
        <v>32</v>
      </c>
    </row>
    <row r="22" spans="1:57" ht="15.75" thickBot="1" x14ac:dyDescent="0.3">
      <c r="A22" s="58" t="s">
        <v>111</v>
      </c>
      <c r="B22" s="51" t="s">
        <v>19</v>
      </c>
      <c r="C22" s="45">
        <v>240</v>
      </c>
      <c r="D22" s="19">
        <v>1.039400577545166</v>
      </c>
      <c r="E22" s="54">
        <v>1.089369528926909E-3</v>
      </c>
      <c r="F22" s="65">
        <v>8.5339994430541992</v>
      </c>
      <c r="G22" s="16">
        <v>0.20454369485378265</v>
      </c>
      <c r="H22" s="16">
        <v>5.7475507259368896E-2</v>
      </c>
      <c r="I22" s="16">
        <v>1.8393239006400108E-2</v>
      </c>
      <c r="J22" s="16">
        <v>5.9484564699232578E-3</v>
      </c>
      <c r="K22" s="16">
        <v>1.5923624159768224E-3</v>
      </c>
      <c r="L22" s="16">
        <v>5.6713650701567531E-4</v>
      </c>
      <c r="M22" s="16">
        <v>1.8855993403121829E-4</v>
      </c>
      <c r="N22" s="16">
        <v>6.3289007812272757E-5</v>
      </c>
      <c r="O22" s="16">
        <v>2.6095114662894048E-5</v>
      </c>
      <c r="P22" s="16">
        <v>6.4925802689685952E-6</v>
      </c>
      <c r="Q22" s="16">
        <v>2.2223534870136064E-6</v>
      </c>
      <c r="R22" s="16">
        <v>9.2889689540243126E-7</v>
      </c>
      <c r="S22" s="16">
        <v>4.451524375781446E-7</v>
      </c>
      <c r="T22" s="47">
        <v>8982.5</v>
      </c>
      <c r="U22">
        <v>40</v>
      </c>
      <c r="V22" s="35">
        <v>118</v>
      </c>
      <c r="W22" s="36">
        <v>230000</v>
      </c>
      <c r="X22" s="37">
        <v>350</v>
      </c>
      <c r="Z22" s="81">
        <f>0</f>
        <v>0</v>
      </c>
      <c r="AA22" s="84">
        <v>34</v>
      </c>
      <c r="AB22" s="88"/>
      <c r="AC22" s="90"/>
      <c r="AD22" s="16">
        <v>1.8393239006400108E-2</v>
      </c>
      <c r="AE22" s="72">
        <v>15499.1455078125</v>
      </c>
      <c r="AF22" s="72">
        <v>15499.1455078125</v>
      </c>
      <c r="AH22" s="77">
        <v>0.75504893064498901</v>
      </c>
      <c r="AI22" s="16">
        <v>0.75504893064498901</v>
      </c>
      <c r="AJ22" s="47">
        <v>40616.6640625</v>
      </c>
      <c r="AK22">
        <v>25</v>
      </c>
      <c r="AL22" s="47">
        <v>38909.86328125</v>
      </c>
      <c r="AM22" s="47"/>
      <c r="AN22" s="47"/>
      <c r="AO22" s="102"/>
      <c r="AP22">
        <v>25</v>
      </c>
      <c r="AQ22">
        <v>25</v>
      </c>
      <c r="AR22">
        <f t="shared" si="0"/>
        <v>0</v>
      </c>
      <c r="AW22">
        <v>25</v>
      </c>
      <c r="BA22">
        <v>25</v>
      </c>
      <c r="BE22">
        <v>25</v>
      </c>
    </row>
    <row r="23" spans="1:57" x14ac:dyDescent="0.25">
      <c r="A23" s="58" t="s">
        <v>112</v>
      </c>
      <c r="B23" s="50" t="s">
        <v>20</v>
      </c>
      <c r="C23" s="45">
        <v>240</v>
      </c>
      <c r="D23" s="19">
        <v>1.039400577545166</v>
      </c>
      <c r="E23" s="54">
        <v>1.089369528926909E-3</v>
      </c>
      <c r="F23" s="65">
        <v>8.5339994430541992</v>
      </c>
      <c r="G23" s="16">
        <v>0.20454369485378265</v>
      </c>
      <c r="H23" s="16">
        <v>5.7475507259368896E-2</v>
      </c>
      <c r="I23" s="16">
        <v>1.8393239006400108E-2</v>
      </c>
      <c r="J23" s="16">
        <v>5.9484564699232578E-3</v>
      </c>
      <c r="K23" s="16">
        <v>1.5923624159768224E-3</v>
      </c>
      <c r="L23" s="16">
        <v>5.6713650701567531E-4</v>
      </c>
      <c r="M23" s="16">
        <v>1.8855993403121829E-4</v>
      </c>
      <c r="N23" s="16">
        <v>6.3289007812272757E-5</v>
      </c>
      <c r="O23" s="16">
        <v>2.6095114662894048E-5</v>
      </c>
      <c r="P23" s="16">
        <v>6.4925802689685952E-6</v>
      </c>
      <c r="Q23" s="16">
        <v>2.2223534870136064E-6</v>
      </c>
      <c r="R23" s="16">
        <v>9.2889689540243126E-7</v>
      </c>
      <c r="S23" s="16">
        <v>4.451524375781446E-7</v>
      </c>
      <c r="T23" s="47">
        <v>8982.5</v>
      </c>
      <c r="U23">
        <v>40</v>
      </c>
      <c r="Z23" s="81">
        <f>0</f>
        <v>0</v>
      </c>
      <c r="AA23" s="84">
        <v>34</v>
      </c>
      <c r="AB23" s="88"/>
      <c r="AC23" s="90"/>
      <c r="AD23" s="16">
        <v>1.8393239006400108E-2</v>
      </c>
      <c r="AE23" s="72">
        <v>15499.1455078125</v>
      </c>
      <c r="AF23" s="72">
        <v>15499.1455078125</v>
      </c>
      <c r="AH23" s="77">
        <v>0.71770906448364258</v>
      </c>
      <c r="AI23" s="16">
        <v>0.71770906448364258</v>
      </c>
      <c r="AJ23" s="47">
        <v>39013.18359375</v>
      </c>
      <c r="AK23">
        <v>25</v>
      </c>
      <c r="AL23" s="47">
        <v>37306.3828125</v>
      </c>
      <c r="AM23" s="47"/>
      <c r="AN23" s="47"/>
      <c r="AO23" s="102"/>
      <c r="AP23">
        <v>25</v>
      </c>
      <c r="AQ23">
        <v>25</v>
      </c>
      <c r="AR23">
        <f t="shared" si="0"/>
        <v>0</v>
      </c>
      <c r="AW23">
        <v>25</v>
      </c>
      <c r="BA23">
        <v>25</v>
      </c>
      <c r="BE23">
        <v>25</v>
      </c>
    </row>
    <row r="24" spans="1:57" x14ac:dyDescent="0.25">
      <c r="A24" s="58" t="s">
        <v>113</v>
      </c>
      <c r="B24" s="50" t="s">
        <v>21</v>
      </c>
      <c r="C24" s="45">
        <v>240</v>
      </c>
      <c r="D24" s="19">
        <v>1.039400577545166</v>
      </c>
      <c r="E24" s="54">
        <v>1.089369528926909E-3</v>
      </c>
      <c r="F24" s="65">
        <v>8.5339994430541992</v>
      </c>
      <c r="G24" s="16">
        <v>0.20454369485378265</v>
      </c>
      <c r="H24" s="16">
        <v>5.7475507259368896E-2</v>
      </c>
      <c r="I24" s="16">
        <v>1.8393239006400108E-2</v>
      </c>
      <c r="J24" s="16">
        <v>5.9484564699232578E-3</v>
      </c>
      <c r="K24" s="16">
        <v>1.5923624159768224E-3</v>
      </c>
      <c r="L24" s="16">
        <v>5.6713650701567531E-4</v>
      </c>
      <c r="M24" s="16">
        <v>1.8855993403121829E-4</v>
      </c>
      <c r="N24" s="16">
        <v>6.3289007812272757E-5</v>
      </c>
      <c r="O24" s="16">
        <v>2.6095114662894048E-5</v>
      </c>
      <c r="P24" s="16">
        <v>6.4925802689685952E-6</v>
      </c>
      <c r="Q24" s="16">
        <v>2.2223534870136064E-6</v>
      </c>
      <c r="R24" s="16">
        <v>9.2889689540243126E-7</v>
      </c>
      <c r="S24" s="16">
        <v>4.451524375781446E-7</v>
      </c>
      <c r="T24" s="47">
        <v>8982.5</v>
      </c>
      <c r="U24">
        <v>40</v>
      </c>
      <c r="Z24" s="81">
        <f>0</f>
        <v>0</v>
      </c>
      <c r="AA24" s="84">
        <v>34</v>
      </c>
      <c r="AB24" s="88"/>
      <c r="AC24" s="90"/>
      <c r="AD24" s="16">
        <v>1.8393239006400108E-2</v>
      </c>
      <c r="AE24" s="72">
        <v>15499.1455078125</v>
      </c>
      <c r="AF24" s="72">
        <v>15499.1455078125</v>
      </c>
      <c r="AH24" s="77">
        <v>0.59058105945587158</v>
      </c>
      <c r="AI24" s="16">
        <v>0.59058105945587158</v>
      </c>
      <c r="AJ24" s="47">
        <v>33553.9296875</v>
      </c>
      <c r="AK24">
        <v>25</v>
      </c>
      <c r="AL24" s="47">
        <v>31847.130859375</v>
      </c>
      <c r="AM24" s="47"/>
      <c r="AN24" s="47"/>
      <c r="AO24" s="102"/>
      <c r="AP24">
        <v>25</v>
      </c>
      <c r="AQ24">
        <v>25</v>
      </c>
      <c r="AR24">
        <f t="shared" si="0"/>
        <v>0</v>
      </c>
      <c r="AW24">
        <v>25</v>
      </c>
      <c r="BA24">
        <v>25</v>
      </c>
      <c r="BE24">
        <v>25</v>
      </c>
    </row>
    <row r="25" spans="1:57" x14ac:dyDescent="0.25">
      <c r="A25" s="58" t="s">
        <v>114</v>
      </c>
      <c r="B25" s="50" t="s">
        <v>22</v>
      </c>
      <c r="C25" s="45">
        <v>240</v>
      </c>
      <c r="D25" s="19">
        <v>1.039400577545166</v>
      </c>
      <c r="E25" s="54">
        <v>1.089369528926909E-3</v>
      </c>
      <c r="F25" s="65">
        <v>8.5339994430541992</v>
      </c>
      <c r="G25" s="16">
        <v>0.20454369485378265</v>
      </c>
      <c r="H25" s="16">
        <v>5.7475507259368896E-2</v>
      </c>
      <c r="I25" s="16">
        <v>1.8393239006400108E-2</v>
      </c>
      <c r="J25" s="16">
        <v>5.9484564699232578E-3</v>
      </c>
      <c r="K25" s="16">
        <v>1.5923624159768224E-3</v>
      </c>
      <c r="L25" s="16">
        <v>5.6713650701567531E-4</v>
      </c>
      <c r="M25" s="16">
        <v>1.8855993403121829E-4</v>
      </c>
      <c r="N25" s="16">
        <v>6.3289007812272757E-5</v>
      </c>
      <c r="O25" s="16">
        <v>2.6095114662894048E-5</v>
      </c>
      <c r="P25" s="16">
        <v>6.4925802689685952E-6</v>
      </c>
      <c r="Q25" s="16">
        <v>2.2223534870136064E-6</v>
      </c>
      <c r="R25" s="16">
        <v>9.2889689540243126E-7</v>
      </c>
      <c r="S25" s="16">
        <v>4.451524375781446E-7</v>
      </c>
      <c r="T25" s="47">
        <v>8982.5</v>
      </c>
      <c r="U25">
        <v>40</v>
      </c>
      <c r="Z25" s="81">
        <f>0</f>
        <v>0</v>
      </c>
      <c r="AA25" s="84">
        <v>34</v>
      </c>
      <c r="AB25" s="88"/>
      <c r="AC25" s="90"/>
      <c r="AD25" s="16">
        <v>1.8393239006400108E-2</v>
      </c>
      <c r="AE25" s="72">
        <v>15499.1455078125</v>
      </c>
      <c r="AF25" s="72">
        <v>15499.1455078125</v>
      </c>
      <c r="AH25" s="77">
        <v>0.43990039825439453</v>
      </c>
      <c r="AI25" s="16">
        <v>0.43990039825439453</v>
      </c>
      <c r="AJ25" s="47">
        <v>27083.2578125</v>
      </c>
      <c r="AK25">
        <v>25</v>
      </c>
      <c r="AL25" s="47">
        <v>25376.458984375</v>
      </c>
      <c r="AM25" s="47"/>
      <c r="AN25" s="47"/>
      <c r="AO25" s="102"/>
      <c r="AP25">
        <v>25</v>
      </c>
      <c r="AQ25">
        <v>25</v>
      </c>
      <c r="AR25">
        <f t="shared" si="0"/>
        <v>0</v>
      </c>
      <c r="AW25">
        <v>25</v>
      </c>
      <c r="BA25">
        <v>25</v>
      </c>
      <c r="BE25">
        <v>32</v>
      </c>
    </row>
    <row r="26" spans="1:57" x14ac:dyDescent="0.25">
      <c r="A26" s="58" t="s">
        <v>115</v>
      </c>
      <c r="B26" s="50" t="s">
        <v>23</v>
      </c>
      <c r="C26" s="45">
        <v>156</v>
      </c>
      <c r="D26" s="19">
        <v>0.67561036348342896</v>
      </c>
      <c r="E26" s="54">
        <v>7.0809019962325692E-4</v>
      </c>
      <c r="F26" s="65">
        <v>248.74098205566406</v>
      </c>
      <c r="G26" s="16">
        <v>2.6727166175842285</v>
      </c>
      <c r="H26" s="16">
        <v>0.76636373996734619</v>
      </c>
      <c r="I26" s="16">
        <v>0.25081303715705872</v>
      </c>
      <c r="J26" s="16">
        <v>8.3246514201164246E-2</v>
      </c>
      <c r="K26" s="16">
        <v>2.3092590272426605E-2</v>
      </c>
      <c r="L26" s="16">
        <v>8.4836389869451523E-3</v>
      </c>
      <c r="M26" s="16">
        <v>2.9247833881527185E-3</v>
      </c>
      <c r="N26" s="16">
        <v>1.0200416436418891E-3</v>
      </c>
      <c r="O26" s="16">
        <v>4.348897491581738E-4</v>
      </c>
      <c r="P26" s="16">
        <v>1.146826907643117E-4</v>
      </c>
      <c r="Q26" s="16">
        <v>4.1219205741072074E-5</v>
      </c>
      <c r="R26" s="16">
        <v>1.7981697965296917E-5</v>
      </c>
      <c r="S26" s="16">
        <v>8.955403245636262E-6</v>
      </c>
      <c r="T26" s="47">
        <v>245258.328125</v>
      </c>
      <c r="U26">
        <v>32</v>
      </c>
      <c r="W26" s="108" t="s">
        <v>187</v>
      </c>
      <c r="Z26" s="81">
        <f>11*$Q$3</f>
        <v>11</v>
      </c>
      <c r="AA26" s="84">
        <v>991</v>
      </c>
      <c r="AB26" s="88"/>
      <c r="AC26" s="90"/>
      <c r="AD26" s="16">
        <v>0.76636373996734619</v>
      </c>
      <c r="AE26" s="72">
        <v>1528473</v>
      </c>
      <c r="AF26" s="72">
        <v>1528473</v>
      </c>
      <c r="AH26" s="77">
        <v>1.4038288593292236</v>
      </c>
      <c r="AI26" s="16">
        <v>1.4038288593292236</v>
      </c>
      <c r="AJ26" s="47">
        <v>263051.84375</v>
      </c>
      <c r="AK26">
        <v>32</v>
      </c>
      <c r="AL26" s="47">
        <v>263051.84375</v>
      </c>
      <c r="AM26" s="47"/>
      <c r="AN26" s="47"/>
      <c r="AO26" s="102"/>
      <c r="AP26">
        <v>32</v>
      </c>
      <c r="AQ26">
        <v>32</v>
      </c>
      <c r="AR26">
        <f t="shared" si="0"/>
        <v>0</v>
      </c>
      <c r="AW26">
        <v>32</v>
      </c>
      <c r="BA26">
        <v>32</v>
      </c>
      <c r="BE26">
        <v>40</v>
      </c>
    </row>
    <row r="27" spans="1:57" x14ac:dyDescent="0.25">
      <c r="A27" s="58" t="s">
        <v>116</v>
      </c>
      <c r="B27" s="50" t="s">
        <v>24</v>
      </c>
      <c r="C27" s="45">
        <v>662</v>
      </c>
      <c r="D27" s="19">
        <v>2.8670132160186768</v>
      </c>
      <c r="E27" s="54">
        <v>3.0048443004488945E-3</v>
      </c>
      <c r="F27" s="65">
        <v>73.040992736816406</v>
      </c>
      <c r="G27" s="16">
        <v>13.022529602050781</v>
      </c>
      <c r="H27" s="16">
        <v>3.6201732158660889</v>
      </c>
      <c r="I27" s="16">
        <v>1.1436365842819214</v>
      </c>
      <c r="J27" s="16">
        <v>0.36407285928726196</v>
      </c>
      <c r="K27" s="16">
        <v>9.5242559909820557E-2</v>
      </c>
      <c r="L27" s="16">
        <v>3.3249568194150925E-2</v>
      </c>
      <c r="M27" s="16">
        <v>1.0804872959852219E-2</v>
      </c>
      <c r="N27" s="16">
        <v>3.5470565780997276E-3</v>
      </c>
      <c r="O27" s="16">
        <v>1.4385278336703777E-3</v>
      </c>
      <c r="P27" s="16">
        <v>3.4929430694319308E-4</v>
      </c>
      <c r="Q27" s="16">
        <v>1.1764615919673815E-4</v>
      </c>
      <c r="R27" s="16">
        <v>4.862420610152185E-5</v>
      </c>
      <c r="S27" s="16">
        <v>2.3104141291696578E-5</v>
      </c>
      <c r="T27" s="47">
        <v>101852.3984375</v>
      </c>
      <c r="U27">
        <v>65</v>
      </c>
      <c r="W27" s="108" t="s">
        <v>188</v>
      </c>
      <c r="Z27" s="81">
        <f>0</f>
        <v>0</v>
      </c>
      <c r="AA27" s="84">
        <v>291</v>
      </c>
      <c r="AB27" s="88"/>
      <c r="AC27" s="90"/>
      <c r="AD27" s="16">
        <v>9.5242559909820557E-2</v>
      </c>
      <c r="AE27" s="72">
        <v>10548.4130859375</v>
      </c>
      <c r="AF27" s="72">
        <v>10548.4130859375</v>
      </c>
      <c r="AH27" s="77">
        <v>0.61454308032989502</v>
      </c>
      <c r="AI27" s="16">
        <v>0.61454308032989502</v>
      </c>
      <c r="AJ27" s="47">
        <v>163364.046875</v>
      </c>
      <c r="AK27">
        <v>50</v>
      </c>
      <c r="AL27" s="47">
        <v>148755.84375</v>
      </c>
      <c r="AM27" s="47"/>
      <c r="AN27" s="47"/>
      <c r="AO27" s="102"/>
      <c r="AP27">
        <v>50</v>
      </c>
      <c r="AQ27">
        <v>65</v>
      </c>
      <c r="AR27">
        <f t="shared" si="0"/>
        <v>15</v>
      </c>
      <c r="AW27">
        <v>65</v>
      </c>
      <c r="BA27">
        <v>50</v>
      </c>
      <c r="BE27">
        <v>65</v>
      </c>
    </row>
    <row r="28" spans="1:57" x14ac:dyDescent="0.25">
      <c r="A28" s="58" t="s">
        <v>117</v>
      </c>
      <c r="B28" s="51" t="s">
        <v>25</v>
      </c>
      <c r="C28" s="45">
        <v>240</v>
      </c>
      <c r="D28" s="19">
        <v>1.039400577545166</v>
      </c>
      <c r="E28" s="54">
        <v>1.089369528926909E-3</v>
      </c>
      <c r="F28" s="65">
        <v>8.5339994430541992</v>
      </c>
      <c r="G28" s="16">
        <v>0.20454369485378265</v>
      </c>
      <c r="H28" s="16">
        <v>5.7475507259368896E-2</v>
      </c>
      <c r="I28" s="16">
        <v>1.8393239006400108E-2</v>
      </c>
      <c r="J28" s="16">
        <v>5.9484564699232578E-3</v>
      </c>
      <c r="K28" s="16">
        <v>1.5923624159768224E-3</v>
      </c>
      <c r="L28" s="16">
        <v>5.6713650701567531E-4</v>
      </c>
      <c r="M28" s="16">
        <v>1.8855993403121829E-4</v>
      </c>
      <c r="N28" s="16">
        <v>6.3289007812272757E-5</v>
      </c>
      <c r="O28" s="16">
        <v>2.6095114662894048E-5</v>
      </c>
      <c r="P28" s="16">
        <v>6.4925802689685952E-6</v>
      </c>
      <c r="Q28" s="16">
        <v>2.2223534870136064E-6</v>
      </c>
      <c r="R28" s="16">
        <v>9.2889689540243126E-7</v>
      </c>
      <c r="S28" s="16">
        <v>4.451524375781446E-7</v>
      </c>
      <c r="T28" s="47">
        <v>8982.5</v>
      </c>
      <c r="U28">
        <v>40</v>
      </c>
      <c r="W28" s="108" t="s">
        <v>189</v>
      </c>
      <c r="Z28" s="81">
        <f>0</f>
        <v>0</v>
      </c>
      <c r="AA28" s="84">
        <v>34</v>
      </c>
      <c r="AB28" s="88"/>
      <c r="AC28" s="90"/>
      <c r="AD28" s="16">
        <v>1.8393239006400108E-2</v>
      </c>
      <c r="AE28" s="72">
        <v>15499.1455078125</v>
      </c>
      <c r="AF28" s="72">
        <v>15499.1455078125</v>
      </c>
      <c r="AH28" s="77">
        <v>0.12470011413097382</v>
      </c>
      <c r="AI28" s="16">
        <v>0.12470011413097382</v>
      </c>
      <c r="AJ28" s="47">
        <v>13547.6298828125</v>
      </c>
      <c r="AK28">
        <v>32</v>
      </c>
      <c r="AL28" s="47">
        <v>13035.58984375</v>
      </c>
      <c r="AM28" s="47"/>
      <c r="AN28" s="47"/>
      <c r="AO28" s="102"/>
      <c r="AP28">
        <v>32</v>
      </c>
      <c r="AQ28">
        <v>25</v>
      </c>
      <c r="AR28">
        <f t="shared" si="0"/>
        <v>-7</v>
      </c>
      <c r="AW28">
        <v>32</v>
      </c>
      <c r="BA28">
        <v>32</v>
      </c>
      <c r="BE28">
        <v>50</v>
      </c>
    </row>
    <row r="29" spans="1:57" x14ac:dyDescent="0.25">
      <c r="A29" s="58" t="s">
        <v>118</v>
      </c>
      <c r="B29" s="50" t="s">
        <v>26</v>
      </c>
      <c r="C29" s="45">
        <v>240</v>
      </c>
      <c r="D29" s="19">
        <v>1.039400577545166</v>
      </c>
      <c r="E29" s="54">
        <v>1.089369528926909E-3</v>
      </c>
      <c r="F29" s="65">
        <v>51.203998565673828</v>
      </c>
      <c r="G29" s="16">
        <v>1.3212449550628662</v>
      </c>
      <c r="H29" s="16">
        <v>0.37986442446708679</v>
      </c>
      <c r="I29" s="16">
        <v>0.12470011413097382</v>
      </c>
      <c r="J29" s="16">
        <v>4.1564673185348511E-2</v>
      </c>
      <c r="K29" s="16">
        <v>1.1610802263021469E-2</v>
      </c>
      <c r="L29" s="16">
        <v>4.2991102673113346E-3</v>
      </c>
      <c r="M29" s="16">
        <v>1.4984805602580309E-3</v>
      </c>
      <c r="N29" s="16">
        <v>5.301067722029984E-4</v>
      </c>
      <c r="O29" s="16">
        <v>2.2908838582225144E-4</v>
      </c>
      <c r="P29" s="16">
        <v>6.1900536820758134E-5</v>
      </c>
      <c r="Q29" s="16">
        <v>2.2732414436177351E-5</v>
      </c>
      <c r="R29" s="16">
        <v>1.0105738510901574E-5</v>
      </c>
      <c r="S29" s="16">
        <v>5.1173678912164178E-6</v>
      </c>
      <c r="T29" s="47">
        <v>54510.828125</v>
      </c>
      <c r="U29">
        <v>40</v>
      </c>
      <c r="Z29" s="81">
        <f>4*$Q$3</f>
        <v>4</v>
      </c>
      <c r="AA29" s="84">
        <v>204</v>
      </c>
      <c r="AB29" s="88"/>
      <c r="AC29" s="90"/>
      <c r="AD29" s="16">
        <v>0.12470011413097382</v>
      </c>
      <c r="AE29" s="72">
        <v>105079.1171875</v>
      </c>
      <c r="AF29" s="72">
        <v>105079.1171875</v>
      </c>
      <c r="AH29" s="77">
        <v>0.12470011413097382</v>
      </c>
      <c r="AI29" s="16">
        <v>0.12470011413097382</v>
      </c>
      <c r="AJ29" s="47">
        <v>54510.828125</v>
      </c>
      <c r="AK29">
        <v>40</v>
      </c>
      <c r="AL29" s="47">
        <v>54510.828125</v>
      </c>
      <c r="AM29" s="47"/>
      <c r="AN29" s="47"/>
      <c r="AO29" s="102"/>
      <c r="AP29">
        <v>40</v>
      </c>
      <c r="AQ29">
        <v>40</v>
      </c>
      <c r="AR29">
        <f t="shared" si="0"/>
        <v>0</v>
      </c>
      <c r="AW29">
        <v>40</v>
      </c>
      <c r="BA29">
        <v>40</v>
      </c>
      <c r="BE29">
        <v>65</v>
      </c>
    </row>
    <row r="30" spans="1:57" x14ac:dyDescent="0.25">
      <c r="A30" s="58" t="s">
        <v>119</v>
      </c>
      <c r="B30" s="50" t="s">
        <v>27</v>
      </c>
      <c r="C30" s="45">
        <v>540</v>
      </c>
      <c r="D30" s="19">
        <v>2.338651180267334</v>
      </c>
      <c r="E30" s="54">
        <v>2.4510812945663929E-3</v>
      </c>
      <c r="F30" s="65">
        <v>125.75099182128906</v>
      </c>
      <c r="G30" s="16">
        <v>15.081971168518066</v>
      </c>
      <c r="H30" s="16">
        <v>4.2102599143981934</v>
      </c>
      <c r="I30" s="16">
        <v>1.3367189168930054</v>
      </c>
      <c r="J30" s="16">
        <v>0.42822578549385071</v>
      </c>
      <c r="K30" s="16">
        <v>0.11310441046953201</v>
      </c>
      <c r="L30" s="16">
        <v>3.984798863530159E-2</v>
      </c>
      <c r="M30" s="16">
        <v>1.310274749994278E-2</v>
      </c>
      <c r="N30" s="16">
        <v>4.3581272475421429E-3</v>
      </c>
      <c r="O30" s="16">
        <v>1.7876266501843929E-3</v>
      </c>
      <c r="P30" s="16">
        <v>4.4306652853265405E-4</v>
      </c>
      <c r="Q30" s="16">
        <v>1.5185428492259234E-4</v>
      </c>
      <c r="R30" s="16">
        <v>6.373084761435166E-5</v>
      </c>
      <c r="S30" s="16">
        <v>3.0706225516041741E-5</v>
      </c>
      <c r="T30" s="47">
        <v>166859.546875</v>
      </c>
      <c r="U30">
        <v>65</v>
      </c>
      <c r="Z30" s="81">
        <f>1*$Q$3</f>
        <v>1</v>
      </c>
      <c r="AA30" s="84">
        <v>501</v>
      </c>
      <c r="AB30" s="88"/>
      <c r="AC30" s="90"/>
      <c r="AD30" s="16">
        <v>0.11310441046953201</v>
      </c>
      <c r="AE30" s="72">
        <v>18826.26171875</v>
      </c>
      <c r="AF30" s="72">
        <v>18826.26171875</v>
      </c>
      <c r="AH30" s="77">
        <v>0.96932363510131836</v>
      </c>
      <c r="AI30" s="16">
        <v>0.96932363510131836</v>
      </c>
      <c r="AJ30" s="47">
        <v>249588.84375</v>
      </c>
      <c r="AK30">
        <v>50</v>
      </c>
      <c r="AL30" s="47">
        <v>224438.65625</v>
      </c>
      <c r="AM30" s="47"/>
      <c r="AN30" s="47"/>
      <c r="AO30" s="102"/>
      <c r="AP30">
        <v>50</v>
      </c>
      <c r="AQ30">
        <v>50</v>
      </c>
      <c r="AR30">
        <f t="shared" si="0"/>
        <v>0</v>
      </c>
      <c r="AW30">
        <v>50</v>
      </c>
      <c r="BA30">
        <v>50</v>
      </c>
      <c r="BE30">
        <v>50</v>
      </c>
    </row>
    <row r="31" spans="1:57" x14ac:dyDescent="0.25">
      <c r="A31" s="58" t="s">
        <v>120</v>
      </c>
      <c r="B31" s="50" t="s">
        <v>28</v>
      </c>
      <c r="C31" s="45">
        <v>762</v>
      </c>
      <c r="D31" s="19">
        <v>3.3000967502593994</v>
      </c>
      <c r="E31" s="54">
        <v>3.4587483387440443E-3</v>
      </c>
      <c r="F31" s="65">
        <v>16.063999176025391</v>
      </c>
      <c r="G31" s="16">
        <v>3.7426373958587646</v>
      </c>
      <c r="H31" s="16">
        <v>1.0520809888839722</v>
      </c>
      <c r="I31" s="16">
        <v>0.33197608590126038</v>
      </c>
      <c r="J31" s="16">
        <v>0.10552491992712021</v>
      </c>
      <c r="K31" s="16">
        <v>2.7539638802409172E-2</v>
      </c>
      <c r="L31" s="16">
        <v>9.5922872424125671E-3</v>
      </c>
      <c r="M31" s="16">
        <v>3.1082916539162397E-3</v>
      </c>
      <c r="N31" s="16">
        <v>1.0173623450100422E-3</v>
      </c>
      <c r="O31" s="16">
        <v>4.1144920396618545E-4</v>
      </c>
      <c r="P31" s="16">
        <v>9.9544871773105115E-5</v>
      </c>
      <c r="Q31" s="16">
        <v>3.3439690014347434E-5</v>
      </c>
      <c r="R31" s="16">
        <v>1.3795390259474516E-5</v>
      </c>
      <c r="S31" s="16">
        <v>6.5458048084110487E-6</v>
      </c>
      <c r="T31" s="47">
        <v>23674.220703125</v>
      </c>
      <c r="U31">
        <v>65</v>
      </c>
      <c r="Z31" s="81">
        <f>0</f>
        <v>0</v>
      </c>
      <c r="AA31" s="84">
        <v>64</v>
      </c>
      <c r="AB31" s="88"/>
      <c r="AC31" s="90"/>
      <c r="AD31" s="16">
        <v>2.7539638802409172E-2</v>
      </c>
      <c r="AE31" s="72">
        <v>2302.07958984375</v>
      </c>
      <c r="AF31" s="72">
        <v>2302.07958984375</v>
      </c>
      <c r="AH31" s="77">
        <v>8.357054740190506E-2</v>
      </c>
      <c r="AI31" s="16">
        <v>8.357054740190506E-2</v>
      </c>
      <c r="AJ31" s="47">
        <v>31313.69140625</v>
      </c>
      <c r="AK31">
        <v>65</v>
      </c>
      <c r="AL31" s="47">
        <v>31313.69140625</v>
      </c>
      <c r="AM31" s="47"/>
      <c r="AN31" s="47"/>
      <c r="AO31" s="102"/>
      <c r="AP31">
        <v>65</v>
      </c>
      <c r="AQ31">
        <v>50</v>
      </c>
      <c r="AR31">
        <f t="shared" si="0"/>
        <v>-15</v>
      </c>
      <c r="AW31">
        <v>50</v>
      </c>
      <c r="BA31">
        <v>50</v>
      </c>
      <c r="BE31">
        <v>50</v>
      </c>
    </row>
    <row r="32" spans="1:57" x14ac:dyDescent="0.25">
      <c r="A32" s="58" t="s">
        <v>121</v>
      </c>
      <c r="B32" s="50" t="s">
        <v>29</v>
      </c>
      <c r="C32" s="45">
        <v>1300</v>
      </c>
      <c r="D32" s="19">
        <v>5.6300864219665527</v>
      </c>
      <c r="E32" s="54">
        <v>5.9007517993450165E-3</v>
      </c>
      <c r="F32" s="65">
        <v>1102.3919677734375</v>
      </c>
      <c r="G32" s="16">
        <v>752.08026123046875</v>
      </c>
      <c r="H32" s="16">
        <v>207.97300720214844</v>
      </c>
      <c r="I32" s="16">
        <v>66.286293029785156</v>
      </c>
      <c r="J32" s="16">
        <v>21.041349411010742</v>
      </c>
      <c r="K32" s="16">
        <v>5.4769706726074219</v>
      </c>
      <c r="L32" s="16">
        <v>1.9027289152145386</v>
      </c>
      <c r="M32" s="16">
        <v>0.61454308032989502</v>
      </c>
      <c r="N32" s="16">
        <v>0.20055113732814789</v>
      </c>
      <c r="O32" s="16">
        <v>8.0979563295841217E-2</v>
      </c>
      <c r="P32" s="16">
        <v>1.9569756463170052E-2</v>
      </c>
      <c r="Q32" s="16">
        <v>6.589413620531559E-3</v>
      </c>
      <c r="R32" s="16">
        <v>2.730407752096653E-3</v>
      </c>
      <c r="S32" s="16">
        <v>1.3031866401433945E-3</v>
      </c>
      <c r="T32" s="47">
        <v>1906774.5</v>
      </c>
      <c r="U32">
        <v>125</v>
      </c>
      <c r="Z32" s="81">
        <f>6*$Q$3+2*$Q$2+1*$Q$1</f>
        <v>6.58</v>
      </c>
      <c r="AA32" s="84">
        <v>4392</v>
      </c>
      <c r="AB32" s="88"/>
      <c r="AC32" s="90"/>
      <c r="AD32" s="16">
        <v>0.61454308032989502</v>
      </c>
      <c r="AE32" s="72">
        <v>17649.712890625</v>
      </c>
      <c r="AF32" s="72">
        <v>17649.712890625</v>
      </c>
      <c r="AH32" s="77">
        <v>0.61454308032989502</v>
      </c>
      <c r="AI32" s="16">
        <v>0.61454308032989502</v>
      </c>
      <c r="AJ32" s="47">
        <v>1906774.5</v>
      </c>
      <c r="AK32">
        <v>100</v>
      </c>
      <c r="AL32" s="47">
        <v>1906774.5</v>
      </c>
      <c r="AM32" s="47"/>
      <c r="AO32" s="16"/>
      <c r="AP32">
        <v>100</v>
      </c>
      <c r="AQ32">
        <v>125</v>
      </c>
      <c r="AR32">
        <f t="shared" si="0"/>
        <v>25</v>
      </c>
      <c r="AW32">
        <v>125</v>
      </c>
      <c r="BA32">
        <v>100</v>
      </c>
      <c r="BE32">
        <v>125</v>
      </c>
    </row>
    <row r="33" spans="1:57" x14ac:dyDescent="0.25">
      <c r="A33" s="58" t="s">
        <v>122</v>
      </c>
      <c r="B33" s="50" t="s">
        <v>30</v>
      </c>
      <c r="C33" s="45">
        <v>360</v>
      </c>
      <c r="D33" s="19">
        <v>1.559100866317749</v>
      </c>
      <c r="E33" s="54">
        <v>1.6340543515980244E-3</v>
      </c>
      <c r="F33" s="65">
        <v>242.46598815917969</v>
      </c>
      <c r="G33" s="16">
        <v>13.083961486816406</v>
      </c>
      <c r="H33" s="16">
        <v>3.6717371940612793</v>
      </c>
      <c r="I33" s="16">
        <v>1.1731024980545044</v>
      </c>
      <c r="J33" s="16">
        <v>0.37879139184951782</v>
      </c>
      <c r="K33" s="16">
        <v>0.10120699554681778</v>
      </c>
      <c r="L33" s="16">
        <v>3.6026366055011749E-2</v>
      </c>
      <c r="M33" s="16">
        <v>1.1988001875579357E-2</v>
      </c>
      <c r="N33" s="16">
        <v>4.0365792810916901E-3</v>
      </c>
      <c r="O33" s="16">
        <v>1.6721546417102218E-3</v>
      </c>
      <c r="P33" s="16">
        <v>4.2097354889847338E-4</v>
      </c>
      <c r="Q33" s="16">
        <v>1.4594930689781904E-4</v>
      </c>
      <c r="R33" s="16">
        <v>6.1774531786795706E-5</v>
      </c>
      <c r="S33" s="16">
        <v>2.9984530556248501E-5</v>
      </c>
      <c r="T33" s="47">
        <v>276564.25</v>
      </c>
      <c r="U33">
        <v>65</v>
      </c>
      <c r="Z33" s="81">
        <f>3*$Q$3</f>
        <v>3</v>
      </c>
      <c r="AA33" s="84">
        <v>966</v>
      </c>
      <c r="AB33" s="88"/>
      <c r="AC33" s="90"/>
      <c r="AD33" s="16">
        <v>0.37879139184951782</v>
      </c>
      <c r="AE33" s="72">
        <v>141862.328125</v>
      </c>
      <c r="AF33" s="72">
        <v>141862.328125</v>
      </c>
      <c r="AH33" s="77">
        <v>0.37879139184951782</v>
      </c>
      <c r="AI33" s="16">
        <v>0.37879139184951782</v>
      </c>
      <c r="AJ33" s="47">
        <v>276564.25</v>
      </c>
      <c r="AK33">
        <v>50</v>
      </c>
      <c r="AL33" s="47">
        <v>276564.25</v>
      </c>
      <c r="AM33" s="47"/>
      <c r="AO33" s="16"/>
      <c r="AP33">
        <v>50</v>
      </c>
      <c r="AQ33">
        <v>65</v>
      </c>
      <c r="AR33">
        <f t="shared" si="0"/>
        <v>15</v>
      </c>
      <c r="AW33">
        <v>50</v>
      </c>
      <c r="BA33">
        <v>50</v>
      </c>
      <c r="BE33">
        <v>65</v>
      </c>
    </row>
    <row r="34" spans="1:57" x14ac:dyDescent="0.25">
      <c r="A34" s="59" t="s">
        <v>127</v>
      </c>
      <c r="B34" s="62" t="s">
        <v>145</v>
      </c>
      <c r="D34" s="19">
        <v>17.912336349487305</v>
      </c>
      <c r="E34" s="54">
        <v>1.8773468211293221E-2</v>
      </c>
      <c r="F34" s="65">
        <v>730.158935546875</v>
      </c>
      <c r="G34" s="16">
        <v>5123.43408203125</v>
      </c>
      <c r="H34" s="16">
        <v>1424.583251953125</v>
      </c>
      <c r="I34" s="16">
        <v>449.7060546875</v>
      </c>
      <c r="J34" s="16">
        <v>142.90504455566406</v>
      </c>
      <c r="K34" s="16">
        <v>37.628650665283203</v>
      </c>
      <c r="L34" s="16">
        <v>13.120779991149902</v>
      </c>
      <c r="M34" s="16">
        <v>4.2558016777038574</v>
      </c>
      <c r="N34" s="16">
        <v>1.396080493927002</v>
      </c>
      <c r="O34" s="16">
        <v>0.5668560266494751</v>
      </c>
      <c r="P34" s="16">
        <v>0.13859021663665771</v>
      </c>
      <c r="Q34" s="16">
        <v>4.7321576625108719E-2</v>
      </c>
      <c r="R34" s="16">
        <v>1.9917730242013931E-2</v>
      </c>
      <c r="S34" s="16">
        <v>9.6625108271837234E-3</v>
      </c>
      <c r="T34" s="47">
        <v>2025851.5</v>
      </c>
      <c r="U34">
        <v>150</v>
      </c>
      <c r="Z34" s="81">
        <f>16*$Q$3</f>
        <v>16</v>
      </c>
      <c r="AA34" s="84">
        <v>2909</v>
      </c>
      <c r="AB34" s="88"/>
      <c r="AC34" s="97" t="s">
        <v>177</v>
      </c>
      <c r="AD34" s="16">
        <v>0.5668560266494751</v>
      </c>
      <c r="AE34" s="72">
        <v>1608.36181640625</v>
      </c>
      <c r="AF34" s="72">
        <v>1611.7333984375</v>
      </c>
      <c r="AH34" s="77">
        <v>0.86735457181930542</v>
      </c>
      <c r="AI34" s="16">
        <v>0.5668560266494751</v>
      </c>
      <c r="AJ34" s="47">
        <v>2025851.5</v>
      </c>
      <c r="AK34">
        <v>150</v>
      </c>
      <c r="AL34" s="47">
        <v>2025851.5</v>
      </c>
      <c r="AM34" s="47"/>
      <c r="AO34" s="16"/>
      <c r="AP34">
        <v>150</v>
      </c>
      <c r="AQ34">
        <v>150</v>
      </c>
      <c r="AR34">
        <f t="shared" si="0"/>
        <v>0</v>
      </c>
      <c r="AW34">
        <v>150</v>
      </c>
      <c r="BA34">
        <v>150</v>
      </c>
      <c r="BE34">
        <v>200</v>
      </c>
    </row>
    <row r="35" spans="1:57" x14ac:dyDescent="0.25">
      <c r="A35" s="59" t="s">
        <v>126</v>
      </c>
      <c r="B35" s="63" t="s">
        <v>146</v>
      </c>
      <c r="D35" s="19">
        <v>24.620800018310547</v>
      </c>
      <c r="E35" s="54">
        <v>2.5804439559578896E-2</v>
      </c>
      <c r="F35" s="65">
        <v>235.93998718261719</v>
      </c>
      <c r="G35" s="16">
        <v>3086.05078125</v>
      </c>
      <c r="H35" s="16">
        <v>854.13543701171875</v>
      </c>
      <c r="I35" s="16">
        <v>268.16732788085938</v>
      </c>
      <c r="J35" s="16">
        <v>84.631088256835938</v>
      </c>
      <c r="K35" s="16">
        <v>21.798421859741211</v>
      </c>
      <c r="L35" s="16">
        <v>7.5781211853027344</v>
      </c>
      <c r="M35" s="16">
        <v>2.4196476936340332</v>
      </c>
      <c r="N35" s="16">
        <v>0.77860599756240845</v>
      </c>
      <c r="O35" s="16">
        <v>0.31032776832580566</v>
      </c>
      <c r="P35" s="16">
        <v>7.3208428919315338E-2</v>
      </c>
      <c r="Q35" s="16">
        <v>2.420484647154808E-2</v>
      </c>
      <c r="R35" s="16">
        <v>9.901377372443676E-3</v>
      </c>
      <c r="S35" s="16">
        <v>4.6820240095257759E-3</v>
      </c>
      <c r="T35" s="47">
        <v>735100.375</v>
      </c>
      <c r="U35">
        <v>200</v>
      </c>
      <c r="Z35" s="81">
        <f>2*$Q$3</f>
        <v>2</v>
      </c>
      <c r="AA35" s="84">
        <v>940</v>
      </c>
      <c r="AB35" s="88"/>
      <c r="AC35" s="97" t="s">
        <v>179</v>
      </c>
      <c r="AD35" s="16">
        <v>7.3208428919315338E-2</v>
      </c>
      <c r="AE35" s="72">
        <v>109.94417572021484</v>
      </c>
      <c r="AF35" s="72">
        <v>114.14802551269531</v>
      </c>
      <c r="AH35" s="77">
        <v>0.94056302309036255</v>
      </c>
      <c r="AI35" s="16">
        <v>7.3208451271057129E-2</v>
      </c>
      <c r="AJ35" s="47">
        <v>735100.375</v>
      </c>
      <c r="AK35">
        <v>200</v>
      </c>
      <c r="AL35" s="47">
        <v>735100.375</v>
      </c>
      <c r="AM35" s="47"/>
      <c r="AO35" s="16"/>
      <c r="AP35">
        <v>200</v>
      </c>
      <c r="AQ35">
        <v>200</v>
      </c>
      <c r="AR35">
        <f t="shared" si="0"/>
        <v>0</v>
      </c>
      <c r="AW35">
        <v>200</v>
      </c>
      <c r="BA35">
        <v>150</v>
      </c>
      <c r="BE35">
        <v>150</v>
      </c>
    </row>
    <row r="36" spans="1:57" x14ac:dyDescent="0.25">
      <c r="A36" s="59" t="s">
        <v>125</v>
      </c>
      <c r="B36" s="62" t="s">
        <v>147</v>
      </c>
      <c r="D36" s="19">
        <v>1.6067399978637695</v>
      </c>
      <c r="E36" s="54">
        <v>1.6839837189763784E-3</v>
      </c>
      <c r="F36" s="65">
        <v>96.13299560546875</v>
      </c>
      <c r="G36" s="16">
        <v>5.6633882522583008</v>
      </c>
      <c r="H36" s="16">
        <v>1.6033104658126831</v>
      </c>
      <c r="I36" s="16">
        <v>0.51735574007034302</v>
      </c>
      <c r="J36" s="16">
        <v>0.1690647304058075</v>
      </c>
      <c r="K36" s="16">
        <v>4.5960869640111923E-2</v>
      </c>
      <c r="L36" s="16">
        <v>1.6627682372927666E-2</v>
      </c>
      <c r="M36" s="16">
        <v>5.6454706937074661E-3</v>
      </c>
      <c r="N36" s="16">
        <v>1.944886171258986E-3</v>
      </c>
      <c r="O36" s="16">
        <v>8.225509081967175E-4</v>
      </c>
      <c r="P36" s="16">
        <v>2.1485399338416755E-4</v>
      </c>
      <c r="Q36" s="16">
        <v>7.6892392826266587E-5</v>
      </c>
      <c r="R36" s="16">
        <v>3.3471966162323952E-5</v>
      </c>
      <c r="S36" s="16">
        <v>1.6659208995406516E-5</v>
      </c>
      <c r="T36" s="47">
        <v>111201.2734375</v>
      </c>
      <c r="U36">
        <v>50</v>
      </c>
      <c r="Z36" s="81">
        <f>4*$Q$3</f>
        <v>4</v>
      </c>
      <c r="AA36" s="84">
        <v>383</v>
      </c>
      <c r="AB36" s="88"/>
      <c r="AC36" s="97" t="s">
        <v>178</v>
      </c>
      <c r="AD36" s="16">
        <v>0.1690647304058075</v>
      </c>
      <c r="AE36" s="72">
        <v>59617.9765625</v>
      </c>
      <c r="AF36" s="72">
        <v>59620.84765625</v>
      </c>
      <c r="AH36" s="77">
        <v>0.94056302309036255</v>
      </c>
      <c r="AI36" s="16">
        <v>0.6695055365562439</v>
      </c>
      <c r="AJ36" s="47">
        <v>144421.859375</v>
      </c>
      <c r="AK36">
        <v>40</v>
      </c>
      <c r="AL36" s="47">
        <v>136731.21875</v>
      </c>
      <c r="AM36" s="47"/>
      <c r="AO36" s="16"/>
      <c r="AP36">
        <v>40</v>
      </c>
      <c r="AQ36">
        <v>40</v>
      </c>
      <c r="AR36">
        <f t="shared" si="0"/>
        <v>0</v>
      </c>
      <c r="AW36">
        <v>40</v>
      </c>
      <c r="BA36">
        <v>50</v>
      </c>
      <c r="BE36">
        <v>40</v>
      </c>
    </row>
    <row r="37" spans="1:57" x14ac:dyDescent="0.25">
      <c r="A37" s="59" t="s">
        <v>124</v>
      </c>
      <c r="B37" s="62" t="s">
        <v>148</v>
      </c>
      <c r="D37" s="19">
        <v>26.2275390625</v>
      </c>
      <c r="E37" s="54">
        <v>2.7488423511385918E-2</v>
      </c>
      <c r="F37" s="65">
        <v>331.0689697265625</v>
      </c>
      <c r="G37" s="16">
        <v>4961.728515625</v>
      </c>
      <c r="H37" s="16">
        <v>1377.84716796875</v>
      </c>
      <c r="I37" s="16">
        <v>434.29580688476563</v>
      </c>
      <c r="J37" s="16">
        <v>137.74505615234375</v>
      </c>
      <c r="K37" s="16">
        <v>35.755359649658203</v>
      </c>
      <c r="L37" s="16">
        <v>12.5135498046875</v>
      </c>
      <c r="M37" s="16">
        <v>4.0354318618774414</v>
      </c>
      <c r="N37" s="16">
        <v>1.314411997795105</v>
      </c>
      <c r="O37" s="16">
        <v>0.53007084131240845</v>
      </c>
      <c r="P37" s="16">
        <v>0.12791071832180023</v>
      </c>
      <c r="Q37" s="16">
        <v>4.3180782347917557E-2</v>
      </c>
      <c r="R37" s="16">
        <v>1.8002921715378761E-2</v>
      </c>
      <c r="S37" s="16">
        <v>8.662911131978035E-3</v>
      </c>
      <c r="T37" s="47">
        <v>1065596.375</v>
      </c>
      <c r="U37">
        <v>200</v>
      </c>
      <c r="Z37" s="81">
        <f>6*$Q$3</f>
        <v>6</v>
      </c>
      <c r="AA37" s="84">
        <v>1319</v>
      </c>
      <c r="AB37" s="88"/>
      <c r="AC37" s="97" t="s">
        <v>180</v>
      </c>
      <c r="AD37" s="16">
        <v>0.12791071832180023</v>
      </c>
      <c r="AE37" s="72">
        <v>169.28062438964844</v>
      </c>
      <c r="AF37" s="72">
        <v>178.154296875</v>
      </c>
      <c r="AH37" s="77">
        <v>1.5998458862304688</v>
      </c>
      <c r="AI37" s="16">
        <v>0.6592828631401062</v>
      </c>
      <c r="AJ37" s="47">
        <v>1641387.875</v>
      </c>
      <c r="AK37">
        <v>150</v>
      </c>
      <c r="AL37" s="47">
        <v>1442746.5</v>
      </c>
      <c r="AM37" s="47"/>
      <c r="AO37" s="16"/>
      <c r="AP37">
        <v>150</v>
      </c>
      <c r="AQ37">
        <v>200</v>
      </c>
      <c r="AR37">
        <f t="shared" si="0"/>
        <v>50</v>
      </c>
      <c r="AW37">
        <v>200</v>
      </c>
      <c r="BA37">
        <v>200</v>
      </c>
      <c r="BE37">
        <v>200</v>
      </c>
    </row>
    <row r="38" spans="1:57" x14ac:dyDescent="0.25">
      <c r="A38" s="61" t="s">
        <v>135</v>
      </c>
      <c r="B38" s="62" t="s">
        <v>149</v>
      </c>
      <c r="D38" s="19">
        <v>8.4970998764038086</v>
      </c>
      <c r="E38" s="54">
        <v>8.905596099793911E-3</v>
      </c>
      <c r="F38" s="65">
        <v>299.4429931640625</v>
      </c>
      <c r="G38" s="16">
        <v>475.077392578125</v>
      </c>
      <c r="H38" s="16">
        <v>132.30978393554688</v>
      </c>
      <c r="I38" s="16">
        <v>41.845989227294922</v>
      </c>
      <c r="J38" s="16">
        <v>13.530050277709961</v>
      </c>
      <c r="K38" s="16">
        <v>3.5635621547698975</v>
      </c>
      <c r="L38" s="16">
        <v>1.2521946430206299</v>
      </c>
      <c r="M38" s="16">
        <v>0.4104292094707489</v>
      </c>
      <c r="N38" s="16">
        <v>0.13632971048355103</v>
      </c>
      <c r="O38" s="16">
        <v>5.5993702262639999E-2</v>
      </c>
      <c r="P38" s="16">
        <v>1.3977875933051109E-2</v>
      </c>
      <c r="Q38" s="16">
        <v>4.8519312404096127E-3</v>
      </c>
      <c r="R38" s="16">
        <v>2.0685424096882343E-3</v>
      </c>
      <c r="S38" s="16">
        <v>1.0135435732081532E-3</v>
      </c>
      <c r="T38" s="47">
        <v>616801.375</v>
      </c>
      <c r="U38">
        <v>125</v>
      </c>
      <c r="Z38" s="81">
        <f>8*$Q$3</f>
        <v>8</v>
      </c>
      <c r="AA38" s="84">
        <v>1193</v>
      </c>
      <c r="AB38" s="88"/>
      <c r="AC38" s="98" t="s">
        <v>181</v>
      </c>
      <c r="AD38" s="16">
        <v>0.13632971048355103</v>
      </c>
      <c r="AE38" s="72">
        <v>1718.955078125</v>
      </c>
      <c r="AF38" s="72">
        <v>1726.290283203125</v>
      </c>
      <c r="AH38" s="77">
        <v>0.75087279081344604</v>
      </c>
      <c r="AI38" s="16">
        <v>0.13632971048355103</v>
      </c>
      <c r="AJ38" s="47">
        <v>616801.375</v>
      </c>
      <c r="AK38">
        <v>125</v>
      </c>
      <c r="AL38" s="47">
        <v>616801.375</v>
      </c>
      <c r="AM38" s="47"/>
      <c r="AO38" s="16"/>
      <c r="AP38">
        <v>125</v>
      </c>
      <c r="AQ38">
        <v>150</v>
      </c>
      <c r="AR38">
        <f t="shared" si="0"/>
        <v>25</v>
      </c>
      <c r="AW38">
        <v>125</v>
      </c>
      <c r="BA38">
        <v>150</v>
      </c>
      <c r="BE38">
        <v>150</v>
      </c>
    </row>
    <row r="39" spans="1:57" x14ac:dyDescent="0.25">
      <c r="A39" s="61" t="s">
        <v>136</v>
      </c>
      <c r="B39" s="62" t="s">
        <v>150</v>
      </c>
      <c r="D39" s="19">
        <v>4.2745347023010254</v>
      </c>
      <c r="E39" s="54">
        <v>4.4800322502851486E-3</v>
      </c>
      <c r="F39" s="65">
        <v>127.25699615478516</v>
      </c>
      <c r="G39" s="16">
        <v>50.271293640136719</v>
      </c>
      <c r="H39" s="16">
        <v>14.12279224395752</v>
      </c>
      <c r="I39" s="16">
        <v>4.4669322967529297</v>
      </c>
      <c r="J39" s="16">
        <v>1.4239751100540161</v>
      </c>
      <c r="K39" s="16">
        <v>0.37316104769706726</v>
      </c>
      <c r="L39" s="16">
        <v>0.13050803542137146</v>
      </c>
      <c r="M39" s="16">
        <v>4.252290353178978E-2</v>
      </c>
      <c r="N39" s="16">
        <v>1.4017943292856216E-2</v>
      </c>
      <c r="O39" s="16">
        <v>5.7117319665849209E-3</v>
      </c>
      <c r="P39" s="16">
        <v>1.4025468844920397E-3</v>
      </c>
      <c r="Q39" s="16">
        <v>4.7858592006377876E-4</v>
      </c>
      <c r="R39" s="16">
        <v>2.0049518207088113E-4</v>
      </c>
      <c r="S39" s="16">
        <v>9.6571762696839869E-5</v>
      </c>
      <c r="T39" s="47">
        <v>201207.890625</v>
      </c>
      <c r="U39">
        <v>80</v>
      </c>
      <c r="Z39" s="81">
        <f>1*$Q$1+1*$Q$2+1*$Q$3</f>
        <v>1.33</v>
      </c>
      <c r="AA39" s="84">
        <v>507</v>
      </c>
      <c r="AB39" s="88"/>
      <c r="AC39" s="98" t="s">
        <v>182</v>
      </c>
      <c r="AD39" s="16">
        <v>0.13050803542137146</v>
      </c>
      <c r="AE39" s="72">
        <v>6502.41943359375</v>
      </c>
      <c r="AF39" s="72">
        <v>6508.39697265625</v>
      </c>
      <c r="AH39" s="77">
        <v>0.75087279081344604</v>
      </c>
      <c r="AI39" s="16">
        <v>0.66730225086212158</v>
      </c>
      <c r="AJ39" s="47">
        <v>296007.28125</v>
      </c>
      <c r="AK39">
        <v>65</v>
      </c>
      <c r="AL39" s="47">
        <v>275646.15625</v>
      </c>
      <c r="AM39" s="47"/>
      <c r="AO39" s="16"/>
      <c r="AP39">
        <v>65</v>
      </c>
      <c r="AQ39">
        <v>80</v>
      </c>
      <c r="AR39">
        <f t="shared" si="0"/>
        <v>15</v>
      </c>
      <c r="AW39">
        <v>80</v>
      </c>
      <c r="BA39">
        <v>65</v>
      </c>
      <c r="BE39">
        <v>80</v>
      </c>
    </row>
    <row r="40" spans="1:57" x14ac:dyDescent="0.25">
      <c r="A40" s="61" t="s">
        <v>134</v>
      </c>
      <c r="B40" s="62" t="s">
        <v>151</v>
      </c>
      <c r="D40" s="19">
        <v>12.771635055541992</v>
      </c>
      <c r="E40" s="54">
        <v>1.3385629281401634E-2</v>
      </c>
      <c r="F40" s="65">
        <v>168.92298889160156</v>
      </c>
      <c r="G40" s="16">
        <v>600.099853515625</v>
      </c>
      <c r="H40" s="16">
        <v>166.62408447265625</v>
      </c>
      <c r="I40" s="16">
        <v>52.512054443359375</v>
      </c>
      <c r="J40" s="16">
        <v>16.652109146118164</v>
      </c>
      <c r="K40" s="16">
        <v>4.390714168548584</v>
      </c>
      <c r="L40" s="16">
        <v>1.5287870168685913</v>
      </c>
      <c r="M40" s="16">
        <v>0.49503839015960693</v>
      </c>
      <c r="N40" s="16">
        <v>0.16208280622959137</v>
      </c>
      <c r="O40" s="16">
        <v>6.5692096948623657E-2</v>
      </c>
      <c r="P40" s="16">
        <v>1.6008049249649048E-2</v>
      </c>
      <c r="Q40" s="16">
        <v>5.4471855983138084E-3</v>
      </c>
      <c r="R40" s="16">
        <v>2.2848008666187525E-3</v>
      </c>
      <c r="S40" s="16">
        <v>1.1042589321732521E-3</v>
      </c>
      <c r="T40" s="47">
        <v>406293.75</v>
      </c>
      <c r="U40">
        <v>150</v>
      </c>
      <c r="Z40" s="81">
        <f>3*$Q$3</f>
        <v>3</v>
      </c>
      <c r="AA40" s="84">
        <v>673</v>
      </c>
      <c r="AB40" s="88"/>
      <c r="AC40" s="99">
        <v>12</v>
      </c>
      <c r="AD40" s="16">
        <v>6.5692096948623657E-2</v>
      </c>
      <c r="AE40" s="72">
        <v>366.6363525390625</v>
      </c>
      <c r="AF40" s="72">
        <v>376.2601318359375</v>
      </c>
      <c r="AH40" s="77">
        <v>0.81656491756439209</v>
      </c>
      <c r="AI40" s="16">
        <v>6.5692126750946045E-2</v>
      </c>
      <c r="AJ40" s="47">
        <v>406293.78125</v>
      </c>
      <c r="AK40">
        <v>150</v>
      </c>
      <c r="AL40" s="47">
        <v>406293.78125</v>
      </c>
      <c r="AM40" s="47"/>
      <c r="AO40" s="16"/>
      <c r="AP40">
        <v>150</v>
      </c>
      <c r="AQ40">
        <v>150</v>
      </c>
      <c r="AR40">
        <f t="shared" si="0"/>
        <v>0</v>
      </c>
      <c r="AW40">
        <v>125</v>
      </c>
      <c r="BA40">
        <v>150</v>
      </c>
      <c r="BE40">
        <v>150</v>
      </c>
    </row>
    <row r="41" spans="1:57" x14ac:dyDescent="0.25">
      <c r="A41" s="61" t="s">
        <v>133</v>
      </c>
      <c r="B41" s="62" t="s">
        <v>152</v>
      </c>
      <c r="D41" s="19">
        <v>13.940960884094238</v>
      </c>
      <c r="E41" s="54">
        <v>1.4611169695854187E-2</v>
      </c>
      <c r="F41" s="65">
        <v>135.28898620605469</v>
      </c>
      <c r="G41" s="16">
        <v>570.94842529296875</v>
      </c>
      <c r="H41" s="16">
        <v>158.368408203125</v>
      </c>
      <c r="I41" s="16">
        <v>49.850368499755859</v>
      </c>
      <c r="J41" s="16">
        <v>15.784042358398438</v>
      </c>
      <c r="K41" s="16">
        <v>4.1472206115722656</v>
      </c>
      <c r="L41" s="16">
        <v>1.4400142431259155</v>
      </c>
      <c r="M41" s="16">
        <v>0.46458372473716736</v>
      </c>
      <c r="N41" s="16">
        <v>0.15143381059169769</v>
      </c>
      <c r="O41" s="16">
        <v>6.1116725206375122E-2</v>
      </c>
      <c r="P41" s="16">
        <v>1.4774961397051811E-2</v>
      </c>
      <c r="Q41" s="16">
        <v>4.9928459338843822E-3</v>
      </c>
      <c r="R41" s="16">
        <v>2.0812200382351875E-3</v>
      </c>
      <c r="S41" s="16">
        <v>1.0005824733525515E-3</v>
      </c>
      <c r="T41" s="47">
        <v>332837.28125</v>
      </c>
      <c r="U41">
        <v>150</v>
      </c>
      <c r="Z41" s="81">
        <f>2*$Q$3</f>
        <v>2</v>
      </c>
      <c r="AA41" s="84">
        <v>539</v>
      </c>
      <c r="AB41" s="88"/>
      <c r="AC41" s="99">
        <v>11</v>
      </c>
      <c r="AD41" s="16">
        <v>6.1116725206375122E-2</v>
      </c>
      <c r="AE41" s="72">
        <v>286.2794189453125</v>
      </c>
      <c r="AF41" s="72">
        <v>293.142333984375</v>
      </c>
      <c r="AH41" s="77">
        <v>0.87768161296844482</v>
      </c>
      <c r="AI41" s="16">
        <v>6.1116695404052734E-2</v>
      </c>
      <c r="AJ41" s="47">
        <v>332837.28125</v>
      </c>
      <c r="AK41">
        <v>150</v>
      </c>
      <c r="AL41" s="47">
        <v>332837.28125</v>
      </c>
      <c r="AM41" s="47"/>
      <c r="AO41" s="101"/>
      <c r="AP41">
        <v>150</v>
      </c>
      <c r="AQ41">
        <v>200</v>
      </c>
      <c r="AR41">
        <f t="shared" si="0"/>
        <v>50</v>
      </c>
      <c r="AW41">
        <v>150</v>
      </c>
      <c r="BA41">
        <v>150</v>
      </c>
      <c r="BE41">
        <v>200</v>
      </c>
    </row>
    <row r="42" spans="1:57" x14ac:dyDescent="0.25">
      <c r="A42" s="61" t="s">
        <v>137</v>
      </c>
      <c r="B42" s="62" t="s">
        <v>153</v>
      </c>
      <c r="D42" s="19">
        <v>1.8449360132217407</v>
      </c>
      <c r="E42" s="54">
        <v>1.9336309051141143E-3</v>
      </c>
      <c r="F42" s="65">
        <v>182.72799682617188</v>
      </c>
      <c r="G42" s="16">
        <v>13.663873672485352</v>
      </c>
      <c r="H42" s="16">
        <v>3.8192522525787354</v>
      </c>
      <c r="I42" s="16">
        <v>1.2145524024963379</v>
      </c>
      <c r="J42" s="16">
        <v>0.38988199830055237</v>
      </c>
      <c r="K42" s="16">
        <v>0.10331282019615173</v>
      </c>
      <c r="L42" s="16">
        <v>3.6496046930551529E-2</v>
      </c>
      <c r="M42" s="16">
        <v>1.2032762169837952E-2</v>
      </c>
      <c r="N42" s="16">
        <v>4.0116272866725922E-3</v>
      </c>
      <c r="O42" s="16">
        <v>1.6476517776027322E-3</v>
      </c>
      <c r="P42" s="16">
        <v>4.0876070852391422E-4</v>
      </c>
      <c r="Q42" s="16">
        <v>1.4000442752148956E-4</v>
      </c>
      <c r="R42" s="16">
        <v>5.8669887948781252E-5</v>
      </c>
      <c r="S42" s="16">
        <v>2.8199245207360946E-5</v>
      </c>
      <c r="T42" s="47">
        <v>219755.375</v>
      </c>
      <c r="U42">
        <v>50</v>
      </c>
      <c r="Z42" s="81">
        <f>1*$Q$3</f>
        <v>1</v>
      </c>
      <c r="AA42" s="84">
        <v>728</v>
      </c>
      <c r="AB42" s="88"/>
      <c r="AC42" s="99">
        <v>15</v>
      </c>
      <c r="AD42" s="16">
        <v>0.38988199830055237</v>
      </c>
      <c r="AE42" s="72">
        <v>104276.3984375</v>
      </c>
      <c r="AF42" s="72">
        <v>104282.8984375</v>
      </c>
      <c r="AH42" s="77">
        <v>0.87768161296844482</v>
      </c>
      <c r="AI42" s="16">
        <v>0.498890221118927</v>
      </c>
      <c r="AJ42" s="47">
        <v>228064.375</v>
      </c>
      <c r="AK42">
        <v>50</v>
      </c>
      <c r="AL42" s="47">
        <v>228064.375</v>
      </c>
      <c r="AM42" s="47"/>
      <c r="AO42" s="47"/>
      <c r="AP42">
        <v>50</v>
      </c>
      <c r="AQ42">
        <v>65</v>
      </c>
      <c r="AR42">
        <f t="shared" si="0"/>
        <v>15</v>
      </c>
      <c r="AW42">
        <v>65</v>
      </c>
      <c r="BA42">
        <v>50</v>
      </c>
      <c r="BE42">
        <v>65</v>
      </c>
    </row>
    <row r="43" spans="1:57" x14ac:dyDescent="0.25">
      <c r="A43" s="61" t="s">
        <v>132</v>
      </c>
      <c r="B43" s="62" t="s">
        <v>154</v>
      </c>
      <c r="D43" s="19">
        <v>15.785897254943848</v>
      </c>
      <c r="E43" s="54">
        <v>1.6544800251722336E-2</v>
      </c>
      <c r="F43" s="65">
        <v>178.20999145507813</v>
      </c>
      <c r="G43" s="16">
        <v>950.03863525390625</v>
      </c>
      <c r="H43" s="16">
        <v>262.16107177734375</v>
      </c>
      <c r="I43" s="16">
        <v>82.017311096191406</v>
      </c>
      <c r="J43" s="16">
        <v>25.766456604003906</v>
      </c>
      <c r="K43" s="16">
        <v>6.6803731918334961</v>
      </c>
      <c r="L43" s="16">
        <v>2.290433406829834</v>
      </c>
      <c r="M43" s="16">
        <v>0.72636252641677856</v>
      </c>
      <c r="N43" s="16">
        <v>0.2318023294210434</v>
      </c>
      <c r="O43" s="16">
        <v>9.1642029583454132E-2</v>
      </c>
      <c r="P43" s="16">
        <v>2.1279474720358849E-2</v>
      </c>
      <c r="Q43" s="16">
        <v>6.9268648512661457E-3</v>
      </c>
      <c r="R43" s="16">
        <v>2.7896552346646786E-3</v>
      </c>
      <c r="S43" s="16">
        <v>1.298965304158628E-3</v>
      </c>
      <c r="T43" s="47">
        <v>451830.53125</v>
      </c>
      <c r="U43">
        <v>150</v>
      </c>
      <c r="Z43" s="81">
        <f>0</f>
        <v>0</v>
      </c>
      <c r="AA43" s="84">
        <v>710</v>
      </c>
      <c r="AB43" s="88"/>
      <c r="AC43" s="99">
        <v>10</v>
      </c>
      <c r="AD43" s="16">
        <v>9.1642029583454132E-2</v>
      </c>
      <c r="AE43" s="72">
        <v>334.78936767578125</v>
      </c>
      <c r="AF43" s="72">
        <v>345.16323852539063</v>
      </c>
      <c r="AH43" s="77">
        <v>0.96932363510131836</v>
      </c>
      <c r="AI43" s="16">
        <v>9.1642022132873535E-2</v>
      </c>
      <c r="AJ43" s="47">
        <v>451830.53125</v>
      </c>
      <c r="AK43">
        <v>150</v>
      </c>
      <c r="AL43" s="47">
        <v>451830.53125</v>
      </c>
      <c r="AM43" s="47"/>
      <c r="AO43" s="47"/>
      <c r="AP43">
        <v>150</v>
      </c>
      <c r="AQ43">
        <v>150</v>
      </c>
      <c r="AR43">
        <f t="shared" si="0"/>
        <v>0</v>
      </c>
      <c r="AW43">
        <v>150</v>
      </c>
      <c r="BA43">
        <v>150</v>
      </c>
      <c r="BE43">
        <v>150</v>
      </c>
    </row>
    <row r="44" spans="1:57" x14ac:dyDescent="0.25">
      <c r="A44" s="61" t="s">
        <v>131</v>
      </c>
      <c r="B44" s="62" t="s">
        <v>155</v>
      </c>
      <c r="D44" s="19">
        <v>18.124547958374023</v>
      </c>
      <c r="E44" s="54">
        <v>1.8995882943272591E-2</v>
      </c>
      <c r="F44" s="65">
        <v>461.08697509765625</v>
      </c>
      <c r="G44" s="16">
        <v>3283.186279296875</v>
      </c>
      <c r="H44" s="16">
        <v>910.12799072265625</v>
      </c>
      <c r="I44" s="16">
        <v>286.27926635742188</v>
      </c>
      <c r="J44" s="16">
        <v>90.561408996582031</v>
      </c>
      <c r="K44" s="16">
        <v>23.683696746826172</v>
      </c>
      <c r="L44" s="16">
        <v>8.201991081237793</v>
      </c>
      <c r="M44" s="16">
        <v>2.6363332271575928</v>
      </c>
      <c r="N44" s="16">
        <v>0.85540598630905151</v>
      </c>
      <c r="O44" s="16">
        <v>0.34371715784072876</v>
      </c>
      <c r="P44" s="16">
        <v>8.239341527223587E-2</v>
      </c>
      <c r="Q44" s="16">
        <v>2.7641322463750839E-2</v>
      </c>
      <c r="R44" s="16">
        <v>1.1453167535364628E-2</v>
      </c>
      <c r="S44" s="16">
        <v>5.4784473031759262E-3</v>
      </c>
      <c r="T44" s="47">
        <v>1271772.75</v>
      </c>
      <c r="U44">
        <v>150</v>
      </c>
      <c r="Z44" s="81">
        <f>6*$Q$3</f>
        <v>6</v>
      </c>
      <c r="AA44" s="84">
        <v>1837</v>
      </c>
      <c r="AB44" s="88"/>
      <c r="AC44" s="99">
        <v>9</v>
      </c>
      <c r="AD44" s="16">
        <v>0.34371715784072876</v>
      </c>
      <c r="AE44" s="72">
        <v>952.537841796875</v>
      </c>
      <c r="AF44" s="72">
        <v>961.44464111328125</v>
      </c>
      <c r="AH44" s="77">
        <v>1.3130407333374023</v>
      </c>
      <c r="AI44" s="16">
        <v>0.34371709823608398</v>
      </c>
      <c r="AJ44" s="47">
        <v>1271772.75</v>
      </c>
      <c r="AK44">
        <v>150</v>
      </c>
      <c r="AL44" s="47">
        <v>1271772.75</v>
      </c>
      <c r="AM44" s="47"/>
      <c r="AO44" s="47"/>
      <c r="AP44">
        <v>150</v>
      </c>
      <c r="AQ44">
        <v>150</v>
      </c>
      <c r="AR44">
        <f t="shared" si="0"/>
        <v>0</v>
      </c>
      <c r="AW44">
        <v>200</v>
      </c>
      <c r="BA44">
        <v>200</v>
      </c>
      <c r="BE44">
        <v>200</v>
      </c>
    </row>
    <row r="45" spans="1:57" x14ac:dyDescent="0.25">
      <c r="A45" s="61" t="s">
        <v>138</v>
      </c>
      <c r="B45" s="62" t="s">
        <v>156</v>
      </c>
      <c r="D45" s="19">
        <v>10.242425918579102</v>
      </c>
      <c r="E45" s="54">
        <v>1.0734828189015388E-2</v>
      </c>
      <c r="F45" s="65">
        <v>208.32998657226563</v>
      </c>
      <c r="G45" s="16">
        <v>470.40203857421875</v>
      </c>
      <c r="H45" s="16">
        <v>130.08183288574219</v>
      </c>
      <c r="I45" s="16">
        <v>40.799003601074219</v>
      </c>
      <c r="J45" s="16">
        <v>13.028092384338379</v>
      </c>
      <c r="K45" s="16">
        <v>3.3734612464904785</v>
      </c>
      <c r="L45" s="16">
        <v>1.1656398773193359</v>
      </c>
      <c r="M45" s="16">
        <v>0.37361621856689453</v>
      </c>
      <c r="N45" s="16">
        <v>0.12083960324525833</v>
      </c>
      <c r="O45" s="16">
        <v>4.8402562737464905E-2</v>
      </c>
      <c r="P45" s="16">
        <v>1.1532200500369072E-2</v>
      </c>
      <c r="Q45" s="16">
        <v>3.8425629027187824E-3</v>
      </c>
      <c r="R45" s="16">
        <v>1.5804284485056996E-3</v>
      </c>
      <c r="S45" s="16">
        <v>7.4989517452195287E-4</v>
      </c>
      <c r="T45" s="47">
        <v>446962.28125</v>
      </c>
      <c r="U45">
        <v>125</v>
      </c>
      <c r="Z45" s="81">
        <f>1*$Q$2+1*$Q$3</f>
        <v>1.25</v>
      </c>
      <c r="AA45" s="84">
        <v>830</v>
      </c>
      <c r="AB45" s="88"/>
      <c r="AC45" s="99">
        <v>16</v>
      </c>
      <c r="AD45" s="16">
        <v>0.12083960324525833</v>
      </c>
      <c r="AE45" s="72">
        <v>1048.622314453125</v>
      </c>
      <c r="AF45" s="72">
        <v>1052.99462890625</v>
      </c>
      <c r="AH45" s="77">
        <v>1.3130407333374023</v>
      </c>
      <c r="AI45" s="16">
        <v>1.1143631935119629</v>
      </c>
      <c r="AJ45" s="47">
        <v>867388.625</v>
      </c>
      <c r="AK45">
        <v>100</v>
      </c>
      <c r="AL45" s="47">
        <v>804889.625</v>
      </c>
      <c r="AM45" s="47"/>
      <c r="AO45" s="54"/>
      <c r="AP45">
        <v>100</v>
      </c>
      <c r="AQ45">
        <v>100</v>
      </c>
      <c r="AR45">
        <f t="shared" si="0"/>
        <v>0</v>
      </c>
      <c r="AW45">
        <v>100</v>
      </c>
      <c r="BA45">
        <v>100</v>
      </c>
      <c r="BE45">
        <v>100</v>
      </c>
    </row>
    <row r="46" spans="1:57" x14ac:dyDescent="0.25">
      <c r="A46" s="61" t="s">
        <v>130</v>
      </c>
      <c r="B46" s="62" t="s">
        <v>157</v>
      </c>
      <c r="D46" s="19">
        <v>37.35345458984375</v>
      </c>
      <c r="E46" s="54">
        <v>3.9149213582277298E-2</v>
      </c>
      <c r="F46" s="65">
        <v>209.333984375</v>
      </c>
      <c r="G46" s="16">
        <v>6430.5146484375</v>
      </c>
      <c r="H46" s="16">
        <v>1792.070556640625</v>
      </c>
      <c r="I46" s="16">
        <v>567.21295166015625</v>
      </c>
      <c r="J46" s="16">
        <v>180.84642028808594</v>
      </c>
      <c r="K46" s="16">
        <v>47.322345733642578</v>
      </c>
      <c r="L46" s="16">
        <v>16.510339736938477</v>
      </c>
      <c r="M46" s="16">
        <v>5.413231372833252</v>
      </c>
      <c r="N46" s="16">
        <v>1.7820981740951538</v>
      </c>
      <c r="O46" s="16">
        <v>0.72591334581375122</v>
      </c>
      <c r="P46" s="16">
        <v>0.17843297123908997</v>
      </c>
      <c r="Q46" s="16">
        <v>6.1227742582559586E-2</v>
      </c>
      <c r="R46" s="16">
        <v>2.5905590504407883E-2</v>
      </c>
      <c r="S46" s="16">
        <v>1.2628872878849506E-2</v>
      </c>
      <c r="T46" s="47">
        <v>806225.9375</v>
      </c>
      <c r="U46">
        <v>250</v>
      </c>
      <c r="Z46" s="81">
        <f>6*$Q$3</f>
        <v>6</v>
      </c>
      <c r="AA46" s="84">
        <v>834</v>
      </c>
      <c r="AB46" s="88"/>
      <c r="AC46" s="99">
        <v>8</v>
      </c>
      <c r="AD46" s="16">
        <v>6.1227742582559586E-2</v>
      </c>
      <c r="AE46" s="72">
        <v>39.948654174804688</v>
      </c>
      <c r="AF46" s="72">
        <v>43.256523132324219</v>
      </c>
      <c r="AH46" s="77">
        <v>1.3742685317993164</v>
      </c>
      <c r="AI46" s="16">
        <v>6.1227798461914063E-2</v>
      </c>
      <c r="AJ46" s="47">
        <v>806226</v>
      </c>
      <c r="AK46">
        <v>250</v>
      </c>
      <c r="AL46" s="47">
        <v>806226</v>
      </c>
      <c r="AM46" s="47"/>
      <c r="AN46" s="47"/>
      <c r="AO46" s="102"/>
      <c r="AP46">
        <v>250</v>
      </c>
      <c r="AQ46">
        <v>250</v>
      </c>
      <c r="AR46">
        <f t="shared" si="0"/>
        <v>0</v>
      </c>
      <c r="AW46">
        <v>250</v>
      </c>
      <c r="BA46">
        <v>250</v>
      </c>
      <c r="BE46">
        <v>250</v>
      </c>
    </row>
    <row r="47" spans="1:57" x14ac:dyDescent="0.25">
      <c r="A47" s="61" t="s">
        <v>143</v>
      </c>
      <c r="B47" s="62" t="s">
        <v>158</v>
      </c>
      <c r="D47" s="19">
        <v>2.078801155090332</v>
      </c>
      <c r="E47" s="54">
        <v>2.1787390578538179E-3</v>
      </c>
      <c r="F47" s="65">
        <v>109.68699645996094</v>
      </c>
      <c r="G47" s="16">
        <v>10.70915412902832</v>
      </c>
      <c r="H47" s="16">
        <v>3.0198714733123779</v>
      </c>
      <c r="I47" s="16">
        <v>0.96999615430831909</v>
      </c>
      <c r="J47" s="16">
        <v>0.31520029902458191</v>
      </c>
      <c r="K47" s="16">
        <v>8.5013039410114288E-2</v>
      </c>
      <c r="L47" s="16">
        <v>3.0551586300134659E-2</v>
      </c>
      <c r="M47" s="16">
        <v>1.0293095372617245E-2</v>
      </c>
      <c r="N47" s="16">
        <v>3.5192705690860748E-3</v>
      </c>
      <c r="O47" s="16">
        <v>1.4796959003433585E-3</v>
      </c>
      <c r="P47" s="16">
        <v>3.8310830132104456E-4</v>
      </c>
      <c r="Q47" s="16">
        <v>1.3627507723867893E-4</v>
      </c>
      <c r="R47" s="16">
        <v>5.9077792684547603E-5</v>
      </c>
      <c r="S47" s="16">
        <v>2.9291806640685536E-5</v>
      </c>
      <c r="T47" s="47">
        <v>141145.734375</v>
      </c>
      <c r="U47">
        <v>50</v>
      </c>
      <c r="Z47" s="81">
        <f>4*$Q$3</f>
        <v>4</v>
      </c>
      <c r="AA47" s="84">
        <v>437</v>
      </c>
      <c r="AB47" s="88"/>
      <c r="AC47" s="99">
        <v>21</v>
      </c>
      <c r="AD47" s="16">
        <v>0.31520029902458191</v>
      </c>
      <c r="AE47" s="72">
        <v>66401.2421875</v>
      </c>
      <c r="AF47" s="72">
        <v>66408.3671875</v>
      </c>
      <c r="AH47" s="77">
        <v>0.43990039825439453</v>
      </c>
      <c r="AI47" s="16">
        <v>0.31520026922225952</v>
      </c>
      <c r="AJ47" s="47">
        <v>141145.734375</v>
      </c>
      <c r="AK47">
        <v>50</v>
      </c>
      <c r="AL47" s="47">
        <v>141145.734375</v>
      </c>
      <c r="AM47" s="47"/>
      <c r="AN47" s="47"/>
      <c r="AO47" s="102"/>
      <c r="AP47">
        <v>50</v>
      </c>
      <c r="AQ47">
        <v>65</v>
      </c>
      <c r="AR47">
        <f t="shared" si="0"/>
        <v>15</v>
      </c>
      <c r="AW47">
        <v>65</v>
      </c>
      <c r="BA47">
        <v>50</v>
      </c>
      <c r="BE47">
        <v>65</v>
      </c>
    </row>
    <row r="48" spans="1:57" x14ac:dyDescent="0.25">
      <c r="A48" s="61" t="s">
        <v>142</v>
      </c>
      <c r="B48" s="62" t="s">
        <v>159</v>
      </c>
      <c r="D48" s="19">
        <v>3.118201732635498</v>
      </c>
      <c r="E48" s="54">
        <v>3.2681087031960487E-3</v>
      </c>
      <c r="F48" s="65">
        <v>86.092994689941406</v>
      </c>
      <c r="G48" s="16">
        <v>18.983251571655273</v>
      </c>
      <c r="H48" s="16">
        <v>5.3543806076049805</v>
      </c>
      <c r="I48" s="16">
        <v>1.7198864221572876</v>
      </c>
      <c r="J48" s="16">
        <v>0.55883496999740601</v>
      </c>
      <c r="K48" s="16">
        <v>0.15068063139915466</v>
      </c>
      <c r="L48" s="16">
        <v>5.4144438356161118E-2</v>
      </c>
      <c r="M48" s="16">
        <v>1.8252072855830193E-2</v>
      </c>
      <c r="N48" s="16">
        <v>6.2517677433788776E-3</v>
      </c>
      <c r="O48" s="16">
        <v>2.6356296148151159E-3</v>
      </c>
      <c r="P48" s="16">
        <v>6.8703567376360297E-4</v>
      </c>
      <c r="Q48" s="16">
        <v>2.4618004681542516E-4</v>
      </c>
      <c r="R48" s="16">
        <v>1.0750689398264512E-4</v>
      </c>
      <c r="S48" s="16">
        <v>5.369223072193563E-5</v>
      </c>
      <c r="T48" s="47">
        <v>126167.328125</v>
      </c>
      <c r="U48">
        <v>65</v>
      </c>
      <c r="Z48" s="81">
        <f>4*$Q$3</f>
        <v>4</v>
      </c>
      <c r="AA48" s="84">
        <v>343</v>
      </c>
      <c r="AB48" s="88"/>
      <c r="AC48" s="99">
        <v>20</v>
      </c>
      <c r="AD48" s="16">
        <v>0.15068063139915466</v>
      </c>
      <c r="AE48" s="72">
        <v>14107.9677734375</v>
      </c>
      <c r="AF48" s="72">
        <v>14116.3271484375</v>
      </c>
      <c r="AH48" s="77">
        <v>0.59058105945587158</v>
      </c>
      <c r="AI48" s="16">
        <v>0.15068066120147705</v>
      </c>
      <c r="AJ48" s="47">
        <v>126167.328125</v>
      </c>
      <c r="AK48">
        <v>65</v>
      </c>
      <c r="AL48" s="47">
        <v>126167.328125</v>
      </c>
      <c r="AM48" s="47"/>
      <c r="AN48" s="47"/>
      <c r="AO48" s="102"/>
      <c r="AP48">
        <v>65</v>
      </c>
      <c r="AQ48">
        <v>65</v>
      </c>
      <c r="AR48">
        <f t="shared" si="0"/>
        <v>0</v>
      </c>
      <c r="AW48">
        <v>65</v>
      </c>
      <c r="BA48">
        <v>65</v>
      </c>
      <c r="BE48">
        <v>65</v>
      </c>
    </row>
    <row r="49" spans="1:58" x14ac:dyDescent="0.25">
      <c r="A49" s="61" t="s">
        <v>141</v>
      </c>
      <c r="B49" s="62" t="s">
        <v>160</v>
      </c>
      <c r="D49" s="19">
        <v>4.1576023101806641</v>
      </c>
      <c r="E49" s="54">
        <v>4.3574781157076359E-3</v>
      </c>
      <c r="F49" s="65">
        <v>120.73099517822266</v>
      </c>
      <c r="G49" s="16">
        <v>46.148990631103516</v>
      </c>
      <c r="H49" s="16">
        <v>13.063907623291016</v>
      </c>
      <c r="I49" s="16">
        <v>4.168480396270752</v>
      </c>
      <c r="J49" s="16">
        <v>1.3433874845504761</v>
      </c>
      <c r="K49" s="16">
        <v>0.35783213376998901</v>
      </c>
      <c r="L49" s="16">
        <v>0.1271279901266098</v>
      </c>
      <c r="M49" s="16">
        <v>4.2261634021997452E-2</v>
      </c>
      <c r="N49" s="16">
        <v>1.4259516261518002E-2</v>
      </c>
      <c r="O49" s="16">
        <v>5.9354258701205254E-3</v>
      </c>
      <c r="P49" s="16">
        <v>1.5145476208999753E-3</v>
      </c>
      <c r="Q49" s="16">
        <v>5.3417909657582641E-4</v>
      </c>
      <c r="R49" s="16">
        <v>2.3035192862153053E-4</v>
      </c>
      <c r="S49" s="16">
        <v>1.1385340621927753E-4</v>
      </c>
      <c r="T49" s="47">
        <v>190860.390625</v>
      </c>
      <c r="U49">
        <v>80</v>
      </c>
      <c r="Z49" s="81">
        <f>4*$Q$3</f>
        <v>4</v>
      </c>
      <c r="AA49" s="84">
        <v>481</v>
      </c>
      <c r="AB49" s="88"/>
      <c r="AC49" s="99">
        <v>19</v>
      </c>
      <c r="AD49" s="16">
        <v>0.1271279901266098</v>
      </c>
      <c r="AE49" s="72">
        <v>6695.31103515625</v>
      </c>
      <c r="AF49" s="72">
        <v>6703.54638671875</v>
      </c>
      <c r="AH49" s="77">
        <v>0.71770906448364258</v>
      </c>
      <c r="AI49" s="16">
        <v>0.127128005027771</v>
      </c>
      <c r="AJ49" s="47">
        <v>190860.390625</v>
      </c>
      <c r="AK49">
        <v>80</v>
      </c>
      <c r="AL49" s="47">
        <v>190860.390625</v>
      </c>
      <c r="AM49" s="47"/>
      <c r="AN49" s="47"/>
      <c r="AO49" s="102"/>
      <c r="AP49">
        <v>80</v>
      </c>
      <c r="AQ49">
        <v>80</v>
      </c>
      <c r="AR49">
        <f t="shared" si="0"/>
        <v>0</v>
      </c>
      <c r="AW49">
        <v>80</v>
      </c>
      <c r="BA49">
        <v>80</v>
      </c>
      <c r="BE49">
        <v>80</v>
      </c>
    </row>
    <row r="50" spans="1:58" x14ac:dyDescent="0.25">
      <c r="A50" s="61" t="s">
        <v>140</v>
      </c>
      <c r="B50" s="62" t="s">
        <v>161</v>
      </c>
      <c r="D50" s="19">
        <v>5.1970028877258301</v>
      </c>
      <c r="E50" s="54">
        <v>5.4468479938805103E-3</v>
      </c>
      <c r="F50" s="65">
        <v>60.741996765136719</v>
      </c>
      <c r="G50" s="16">
        <v>37.446231842041016</v>
      </c>
      <c r="H50" s="16">
        <v>10.560129165649414</v>
      </c>
      <c r="I50" s="16">
        <v>3.4421334266662598</v>
      </c>
      <c r="J50" s="16">
        <v>1.123225212097168</v>
      </c>
      <c r="K50" s="16">
        <v>0.30460053682327271</v>
      </c>
      <c r="L50" s="16">
        <v>0.11003561317920685</v>
      </c>
      <c r="M50" s="16">
        <v>3.7339888513088226E-2</v>
      </c>
      <c r="N50" s="16">
        <v>1.2893620878458023E-2</v>
      </c>
      <c r="O50" s="16">
        <v>5.4787984117865562E-3</v>
      </c>
      <c r="P50" s="16">
        <v>1.449145027436316E-3</v>
      </c>
      <c r="Q50" s="16">
        <v>5.2639748901128769E-4</v>
      </c>
      <c r="R50" s="16">
        <v>2.3274651903193444E-4</v>
      </c>
      <c r="S50" s="16">
        <v>1.1757639731513336E-4</v>
      </c>
      <c r="T50" s="47">
        <v>105204.6171875</v>
      </c>
      <c r="U50">
        <v>100</v>
      </c>
      <c r="Z50" s="81">
        <f>4*$Q$3</f>
        <v>4</v>
      </c>
      <c r="AA50" s="84">
        <v>242</v>
      </c>
      <c r="AB50" s="88"/>
      <c r="AC50" s="99">
        <v>18</v>
      </c>
      <c r="AD50" s="16">
        <v>3.7339888513088226E-2</v>
      </c>
      <c r="AE50" s="72">
        <v>1258.5848388671875</v>
      </c>
      <c r="AF50" s="72">
        <v>1266.6844482421875</v>
      </c>
      <c r="AH50" s="77">
        <v>0.75504893064498901</v>
      </c>
      <c r="AI50" s="16">
        <v>3.7339866161346436E-2</v>
      </c>
      <c r="AJ50" s="47">
        <v>105204.6171875</v>
      </c>
      <c r="AK50">
        <v>100</v>
      </c>
      <c r="AL50" s="47">
        <v>105204.6171875</v>
      </c>
      <c r="AM50" s="47"/>
      <c r="AN50" s="47"/>
      <c r="AO50" s="102"/>
      <c r="AP50">
        <v>100</v>
      </c>
      <c r="AQ50">
        <v>80</v>
      </c>
      <c r="AR50">
        <f t="shared" si="0"/>
        <v>-20</v>
      </c>
      <c r="AW50">
        <v>80</v>
      </c>
      <c r="BA50">
        <v>80</v>
      </c>
      <c r="BE50">
        <v>100</v>
      </c>
    </row>
    <row r="51" spans="1:58" x14ac:dyDescent="0.25">
      <c r="A51" s="61" t="s">
        <v>139</v>
      </c>
      <c r="B51" s="62" t="s">
        <v>162</v>
      </c>
      <c r="D51" s="19">
        <v>6.2364034652709961</v>
      </c>
      <c r="E51" s="54">
        <v>6.5362174063920975E-3</v>
      </c>
      <c r="F51" s="65">
        <v>67.016998291015625</v>
      </c>
      <c r="G51" s="16">
        <v>57.451866149902344</v>
      </c>
      <c r="H51" s="16">
        <v>16.017101287841797</v>
      </c>
      <c r="I51" s="16">
        <v>5.1433863639831543</v>
      </c>
      <c r="J51" s="16">
        <v>1.6507018804550171</v>
      </c>
      <c r="K51" s="16">
        <v>0.43682733178138733</v>
      </c>
      <c r="L51" s="16">
        <v>0.15421728789806366</v>
      </c>
      <c r="M51" s="16">
        <v>5.0857681781053543E-2</v>
      </c>
      <c r="N51" s="16">
        <v>1.7011979594826698E-2</v>
      </c>
      <c r="O51" s="16">
        <v>7.0301615633070469E-3</v>
      </c>
      <c r="P51" s="16">
        <v>1.7733336426317692E-3</v>
      </c>
      <c r="Q51" s="16">
        <v>6.2032416462898254E-4</v>
      </c>
      <c r="R51" s="16">
        <v>2.6598118711262941E-4</v>
      </c>
      <c r="S51" s="16">
        <v>1.309037470491603E-4</v>
      </c>
      <c r="T51" s="47">
        <v>120331.0703125</v>
      </c>
      <c r="U51">
        <v>100</v>
      </c>
      <c r="Z51" s="81">
        <f>2*$Q$3</f>
        <v>2</v>
      </c>
      <c r="AA51" s="84">
        <v>267</v>
      </c>
      <c r="AB51" s="88"/>
      <c r="AC51" s="99">
        <v>17</v>
      </c>
      <c r="AD51" s="16">
        <v>5.0857681781053543E-2</v>
      </c>
      <c r="AE51" s="72">
        <v>1190.42919921875</v>
      </c>
      <c r="AF51" s="72">
        <v>1198.381103515625</v>
      </c>
      <c r="AH51" s="77">
        <v>1.3742685317993164</v>
      </c>
      <c r="AI51" s="16">
        <v>0.61921960115432739</v>
      </c>
      <c r="AJ51" s="47">
        <v>266773.875</v>
      </c>
      <c r="AK51">
        <v>65</v>
      </c>
      <c r="AL51" s="47">
        <v>242647.765625</v>
      </c>
      <c r="AM51" s="47"/>
      <c r="AN51" s="47"/>
      <c r="AO51" s="102"/>
      <c r="AP51">
        <v>65</v>
      </c>
      <c r="AQ51">
        <v>80</v>
      </c>
      <c r="AR51">
        <f t="shared" si="0"/>
        <v>15</v>
      </c>
      <c r="AW51">
        <v>80</v>
      </c>
      <c r="BA51">
        <v>80</v>
      </c>
      <c r="BE51">
        <v>80</v>
      </c>
    </row>
    <row r="52" spans="1:58" x14ac:dyDescent="0.25">
      <c r="A52" s="61" t="s">
        <v>129</v>
      </c>
      <c r="B52" s="62" t="s">
        <v>163</v>
      </c>
      <c r="D52" s="19">
        <v>52.242866516113281</v>
      </c>
      <c r="E52" s="54">
        <v>5.4754432290792465E-2</v>
      </c>
      <c r="F52" s="65">
        <v>115.20899200439453</v>
      </c>
      <c r="G52" s="16">
        <v>6964.271484375</v>
      </c>
      <c r="H52" s="16">
        <v>1944.70654296875</v>
      </c>
      <c r="I52" s="16">
        <v>616.9605712890625</v>
      </c>
      <c r="J52" s="16">
        <v>197.28132629394531</v>
      </c>
      <c r="K52" s="16">
        <v>51.851890563964844</v>
      </c>
      <c r="L52" s="16">
        <v>18.169439315795898</v>
      </c>
      <c r="M52" s="16">
        <v>5.9270157814025879</v>
      </c>
      <c r="N52" s="16">
        <v>1.9768321514129639</v>
      </c>
      <c r="O52" s="16">
        <v>0.80929702520370483</v>
      </c>
      <c r="P52" s="16">
        <v>0.20072035491466522</v>
      </c>
      <c r="Q52" s="16">
        <v>6.9403961300849915E-2</v>
      </c>
      <c r="R52" s="16">
        <v>2.9560303315520287E-2</v>
      </c>
      <c r="S52" s="16">
        <v>1.4497275464236736E-2</v>
      </c>
      <c r="T52" s="47">
        <v>536160.375</v>
      </c>
      <c r="U52">
        <v>300</v>
      </c>
      <c r="Z52" s="81">
        <f t="shared" ref="Z52" si="1">4*$Q$3</f>
        <v>4</v>
      </c>
      <c r="AA52" s="84">
        <v>459</v>
      </c>
      <c r="AB52" s="88"/>
      <c r="AC52" s="99">
        <v>7</v>
      </c>
      <c r="AD52" s="16">
        <v>2.9560303315520287E-2</v>
      </c>
      <c r="AE52" s="72">
        <v>9.8598499298095703</v>
      </c>
      <c r="AF52" s="72">
        <v>13.218321800231934</v>
      </c>
      <c r="AH52" s="77">
        <v>1.4038288593292236</v>
      </c>
      <c r="AI52" s="16">
        <v>2.9560327529907227E-2</v>
      </c>
      <c r="AJ52" s="47">
        <v>536160.4375</v>
      </c>
      <c r="AK52">
        <v>300</v>
      </c>
      <c r="AL52" s="47">
        <v>536160.4375</v>
      </c>
      <c r="AM52" s="47"/>
      <c r="AN52" s="47"/>
      <c r="AO52" s="102"/>
      <c r="AP52">
        <v>300</v>
      </c>
      <c r="AQ52">
        <v>300</v>
      </c>
      <c r="AR52">
        <f t="shared" si="0"/>
        <v>0</v>
      </c>
      <c r="AW52">
        <v>250</v>
      </c>
      <c r="BA52">
        <v>250</v>
      </c>
      <c r="BE52">
        <v>300</v>
      </c>
    </row>
    <row r="53" spans="1:58" x14ac:dyDescent="0.25">
      <c r="A53" s="61" t="s">
        <v>128</v>
      </c>
      <c r="B53" s="63" t="s">
        <v>164</v>
      </c>
      <c r="D53" s="19">
        <v>52.918476104736328</v>
      </c>
      <c r="E53" s="54">
        <v>5.5462520569562912E-2</v>
      </c>
      <c r="F53" s="65">
        <v>361.18899536132813</v>
      </c>
      <c r="G53" s="16">
        <v>22130.232421875</v>
      </c>
      <c r="H53" s="16">
        <v>6154.31591796875</v>
      </c>
      <c r="I53" s="16">
        <v>1943.1190185546875</v>
      </c>
      <c r="J53" s="16">
        <v>617.6143798828125</v>
      </c>
      <c r="K53" s="16">
        <v>160.84687805175781</v>
      </c>
      <c r="L53" s="16">
        <v>55.854789733886719</v>
      </c>
      <c r="M53" s="16">
        <v>18.004238128662109</v>
      </c>
      <c r="N53" s="16">
        <v>5.9233875274658203</v>
      </c>
      <c r="O53" s="16">
        <v>2.3932185173034668</v>
      </c>
      <c r="P53" s="16">
        <v>0.57917845249176025</v>
      </c>
      <c r="Q53" s="16">
        <v>0.19601696729660034</v>
      </c>
      <c r="R53" s="16">
        <v>8.1951223313808441E-2</v>
      </c>
      <c r="S53" s="16">
        <v>3.9542816579341888E-2</v>
      </c>
      <c r="T53" s="47">
        <v>1656600.75</v>
      </c>
      <c r="U53">
        <v>250</v>
      </c>
      <c r="Z53" s="81">
        <f>1*$Q$1+8*$Q$3</f>
        <v>8.08</v>
      </c>
      <c r="AA53" s="84">
        <v>1439</v>
      </c>
      <c r="AB53" s="88"/>
      <c r="AC53" s="99">
        <v>6</v>
      </c>
      <c r="AD53" s="16">
        <v>0.19601696729660034</v>
      </c>
      <c r="AE53" s="72">
        <v>63.722743988037109</v>
      </c>
      <c r="AF53" s="72">
        <v>72.64453125</v>
      </c>
      <c r="AH53" s="77">
        <v>1.5998458862304688</v>
      </c>
      <c r="AI53" s="16">
        <v>0.19601702690124512</v>
      </c>
      <c r="AJ53" s="47">
        <v>1656600.875</v>
      </c>
      <c r="AK53">
        <v>250</v>
      </c>
      <c r="AL53" s="47">
        <v>1656600.875</v>
      </c>
      <c r="AM53" s="47"/>
      <c r="AN53" s="47"/>
      <c r="AO53" s="102"/>
      <c r="AP53">
        <v>250</v>
      </c>
      <c r="AQ53">
        <v>250</v>
      </c>
      <c r="AR53">
        <f t="shared" si="0"/>
        <v>0</v>
      </c>
      <c r="AW53">
        <v>250</v>
      </c>
      <c r="BA53">
        <v>250</v>
      </c>
      <c r="BE53">
        <v>300</v>
      </c>
    </row>
    <row r="54" spans="1:58" x14ac:dyDescent="0.25">
      <c r="A54" s="60" t="s">
        <v>123</v>
      </c>
      <c r="B54" s="63" t="s">
        <v>165</v>
      </c>
      <c r="D54" s="19">
        <v>79.146011352539063</v>
      </c>
      <c r="E54" s="54">
        <v>8.295094221830368E-2</v>
      </c>
      <c r="F54" s="65">
        <v>487.19097900390625</v>
      </c>
      <c r="G54" s="16">
        <v>67194.4609375</v>
      </c>
      <c r="H54" s="16">
        <v>18726.3671875</v>
      </c>
      <c r="I54" s="16">
        <v>5927.30126953125</v>
      </c>
      <c r="J54" s="16">
        <v>1889.889404296875</v>
      </c>
      <c r="K54" s="16">
        <v>494.55715942382813</v>
      </c>
      <c r="L54" s="16">
        <v>172.55586242675781</v>
      </c>
      <c r="M54" s="16">
        <v>55.973258972167969</v>
      </c>
      <c r="N54" s="16">
        <v>18.349746704101563</v>
      </c>
      <c r="O54" s="16">
        <v>7.5129914283752441</v>
      </c>
      <c r="P54" s="16">
        <v>1.8383606672286987</v>
      </c>
      <c r="Q54" s="16">
        <v>0.62818598747253418</v>
      </c>
      <c r="R54" s="16">
        <v>0.26485997438430786</v>
      </c>
      <c r="S54" s="16">
        <v>0.12876275181770325</v>
      </c>
      <c r="T54" s="47">
        <v>2662123.25</v>
      </c>
      <c r="U54">
        <v>350</v>
      </c>
      <c r="Z54" s="82">
        <f>14*$Q$3</f>
        <v>14</v>
      </c>
      <c r="AA54" s="86">
        <v>1941</v>
      </c>
      <c r="AB54" s="92"/>
      <c r="AC54" s="100">
        <v>1</v>
      </c>
      <c r="AD54" s="16">
        <v>0.12876275181770325</v>
      </c>
      <c r="AE54" s="72">
        <v>18.713180541992188</v>
      </c>
      <c r="AF54" s="72">
        <v>29.695091247558594</v>
      </c>
      <c r="AH54" s="77">
        <v>1.7286086082458496</v>
      </c>
      <c r="AI54" s="101">
        <v>0.12876272201538086</v>
      </c>
      <c r="AJ54" s="47">
        <v>2662123</v>
      </c>
      <c r="AK54">
        <v>350</v>
      </c>
      <c r="AL54" s="47">
        <v>2662123</v>
      </c>
      <c r="AM54" s="47"/>
      <c r="AN54" s="47"/>
      <c r="AO54" s="102"/>
      <c r="AP54">
        <v>350</v>
      </c>
      <c r="AQ54">
        <v>350</v>
      </c>
      <c r="AR54">
        <f t="shared" si="0"/>
        <v>0</v>
      </c>
      <c r="AW54">
        <v>350</v>
      </c>
      <c r="BA54">
        <v>350</v>
      </c>
      <c r="BE54">
        <v>350</v>
      </c>
    </row>
    <row r="55" spans="1:58" x14ac:dyDescent="0.25">
      <c r="A55" s="2" t="s">
        <v>74</v>
      </c>
      <c r="B55" s="3"/>
      <c r="C55" s="4">
        <f>SUM(C10:C33)</f>
        <v>18275</v>
      </c>
      <c r="D55" s="20">
        <f>C55/(E$3*(B$1-B$2))</f>
        <v>79.146022249547784</v>
      </c>
      <c r="E55" s="55">
        <f>D55/H3</f>
        <v>8.2950953886230069E-2</v>
      </c>
      <c r="F55" s="53">
        <f>SUM(F10:F54)</f>
        <v>8342.4865789413452</v>
      </c>
      <c r="T55" s="48">
        <f>SUM(T10:T54)</f>
        <v>19906721.532714844</v>
      </c>
      <c r="AI55" s="66"/>
      <c r="AJ55" s="48">
        <f>SUM(AJ10:AJ54)</f>
        <v>22745305.540039063</v>
      </c>
      <c r="AL55" s="48">
        <f>SUM(AL10:AL54)</f>
        <v>22197061.301757813</v>
      </c>
      <c r="AM55" s="47"/>
      <c r="AN55" s="47"/>
      <c r="AO55" s="16"/>
      <c r="AP55" s="47">
        <v>22197061</v>
      </c>
      <c r="AQ55" s="47">
        <v>21372268</v>
      </c>
      <c r="AR55" s="47">
        <f t="shared" si="0"/>
        <v>-824793</v>
      </c>
      <c r="AW55" s="47">
        <v>21281968</v>
      </c>
      <c r="AX55" s="47">
        <v>-915093</v>
      </c>
      <c r="BA55" s="47">
        <v>21534044</v>
      </c>
      <c r="BB55" s="47">
        <v>-663017</v>
      </c>
      <c r="BE55" s="47">
        <v>21286438</v>
      </c>
      <c r="BF55" s="47">
        <v>-910623</v>
      </c>
    </row>
    <row r="56" spans="1:58" x14ac:dyDescent="0.25">
      <c r="AD56" s="1" t="s">
        <v>75</v>
      </c>
      <c r="AH56" s="1" t="s">
        <v>75</v>
      </c>
      <c r="AJ56" s="47"/>
      <c r="AL56" s="47"/>
      <c r="AM56" s="47"/>
      <c r="AN56" s="47"/>
      <c r="AO56" s="16"/>
    </row>
    <row r="57" spans="1:58" x14ac:dyDescent="0.25">
      <c r="AD57" s="70" t="s">
        <v>76</v>
      </c>
      <c r="AE57" s="56">
        <f>E55</f>
        <v>8.2950953886230069E-2</v>
      </c>
      <c r="AF57" s="5" t="s">
        <v>45</v>
      </c>
      <c r="AH57" s="70" t="s">
        <v>76</v>
      </c>
      <c r="AI57" s="56">
        <f>E55</f>
        <v>8.2950953886230069E-2</v>
      </c>
      <c r="AJ57" s="5" t="s">
        <v>45</v>
      </c>
      <c r="AL57" s="16"/>
      <c r="AM57" s="47"/>
      <c r="AN57" s="47"/>
      <c r="AO57" s="16"/>
      <c r="BA57">
        <v>350000</v>
      </c>
      <c r="BB57" t="s">
        <v>194</v>
      </c>
      <c r="BC57" t="s">
        <v>195</v>
      </c>
    </row>
    <row r="58" spans="1:58" x14ac:dyDescent="0.25">
      <c r="AD58" s="70" t="s">
        <v>186</v>
      </c>
      <c r="AE58" s="106">
        <f>AF54*AE57^2</f>
        <v>0.20432778785186473</v>
      </c>
      <c r="AF58" s="5" t="s">
        <v>5</v>
      </c>
      <c r="AH58" s="70" t="s">
        <v>186</v>
      </c>
      <c r="AI58" s="73">
        <f>AH54</f>
        <v>1.7286086082458496</v>
      </c>
      <c r="AJ58" s="5" t="s">
        <v>5</v>
      </c>
      <c r="AK58" s="47"/>
      <c r="AL58" s="47">
        <f>AJ55-AL55</f>
        <v>548244.23828125</v>
      </c>
      <c r="AM58" s="47"/>
      <c r="AN58" s="47"/>
      <c r="AO58" s="16"/>
      <c r="AR58" s="8"/>
      <c r="AS58" s="8"/>
    </row>
    <row r="59" spans="1:58" ht="15" customHeight="1" x14ac:dyDescent="0.25">
      <c r="AD59" s="119" t="s">
        <v>169</v>
      </c>
      <c r="AE59" s="119"/>
      <c r="AF59" s="119"/>
      <c r="AH59" s="120" t="s">
        <v>185</v>
      </c>
      <c r="AI59" s="120"/>
      <c r="AJ59" s="120"/>
      <c r="AL59" s="47">
        <f>AL55-T55</f>
        <v>2290339.7690429688</v>
      </c>
      <c r="AM59" s="47"/>
      <c r="AN59" s="47"/>
      <c r="AO59" s="16"/>
      <c r="AR59" s="8"/>
      <c r="AS59" s="8"/>
    </row>
    <row r="60" spans="1:58" x14ac:dyDescent="0.25">
      <c r="R60" s="9"/>
      <c r="S60" s="10"/>
      <c r="T60" s="10"/>
      <c r="AD60" s="119"/>
      <c r="AE60" s="119"/>
      <c r="AF60" s="119"/>
      <c r="AH60" s="120"/>
      <c r="AI60" s="120"/>
      <c r="AJ60" s="120"/>
      <c r="AL60" s="16"/>
      <c r="AM60" s="47"/>
      <c r="AN60" s="47"/>
      <c r="AO60" s="16"/>
      <c r="AR60" s="8"/>
      <c r="AS60" s="17"/>
    </row>
    <row r="61" spans="1:58" x14ac:dyDescent="0.25">
      <c r="R61" s="11"/>
      <c r="S61" s="12"/>
      <c r="T61" s="12"/>
      <c r="AD61" s="119"/>
      <c r="AE61" s="119"/>
      <c r="AF61" s="119"/>
      <c r="AH61" s="120"/>
      <c r="AI61" s="120"/>
      <c r="AJ61" s="120"/>
      <c r="AL61" s="16"/>
      <c r="AM61" s="47"/>
      <c r="AN61" s="47"/>
      <c r="AO61" s="16"/>
      <c r="AR61" s="8"/>
      <c r="AS61" s="8"/>
    </row>
    <row r="62" spans="1:58" x14ac:dyDescent="0.25">
      <c r="R62" s="11"/>
      <c r="S62" s="11"/>
      <c r="T62" s="11"/>
      <c r="AD62" s="119"/>
      <c r="AE62" s="119"/>
      <c r="AF62" s="119"/>
      <c r="AH62" s="120"/>
      <c r="AI62" s="120"/>
      <c r="AJ62" s="120"/>
      <c r="AL62" s="16"/>
      <c r="AM62" s="47"/>
      <c r="AN62" s="47"/>
      <c r="AO62" s="16"/>
      <c r="AR62" s="8"/>
      <c r="AS62" s="14"/>
    </row>
    <row r="63" spans="1:58" x14ac:dyDescent="0.25">
      <c r="R63" s="11"/>
      <c r="S63" s="11"/>
      <c r="T63" s="11"/>
      <c r="AD63" s="71"/>
      <c r="AE63" s="71"/>
      <c r="AF63" s="71"/>
      <c r="AG63" s="52"/>
      <c r="AH63" s="120"/>
      <c r="AI63" s="120"/>
      <c r="AJ63" s="120"/>
      <c r="AL63" s="16"/>
      <c r="AM63" s="47"/>
      <c r="AN63" s="47"/>
      <c r="AO63" s="16"/>
      <c r="AP63" t="s">
        <v>190</v>
      </c>
      <c r="AR63" s="8"/>
      <c r="AS63" s="14"/>
    </row>
    <row r="64" spans="1:58" x14ac:dyDescent="0.25">
      <c r="R64" s="13"/>
      <c r="S64" s="11"/>
      <c r="T64" s="11"/>
      <c r="AD64" s="71"/>
      <c r="AE64" s="71"/>
      <c r="AF64" s="71"/>
      <c r="AH64" s="120"/>
      <c r="AI64" s="120"/>
      <c r="AJ64" s="120"/>
      <c r="AP64" t="s">
        <v>191</v>
      </c>
      <c r="AQ64" t="s">
        <v>192</v>
      </c>
    </row>
    <row r="65" spans="18:43" x14ac:dyDescent="0.25">
      <c r="R65" s="13"/>
      <c r="S65" s="11"/>
      <c r="T65" s="11"/>
      <c r="AD65" s="107"/>
      <c r="AE65" s="16"/>
      <c r="AH65" s="120"/>
      <c r="AI65" s="120"/>
      <c r="AJ65" s="120"/>
      <c r="AQ65" t="s">
        <v>193</v>
      </c>
    </row>
    <row r="66" spans="18:43" x14ac:dyDescent="0.25">
      <c r="R66" s="13"/>
      <c r="S66" s="11"/>
      <c r="T66" s="11"/>
      <c r="AH66" s="120"/>
      <c r="AI66" s="120"/>
      <c r="AJ66" s="120"/>
    </row>
    <row r="67" spans="18:43" x14ac:dyDescent="0.25">
      <c r="R67" s="13"/>
      <c r="S67" s="11"/>
      <c r="T67" s="11"/>
      <c r="AH67" s="120"/>
      <c r="AI67" s="120"/>
      <c r="AJ67" s="120"/>
    </row>
    <row r="68" spans="18:43" x14ac:dyDescent="0.25">
      <c r="R68" s="13"/>
      <c r="S68" s="11"/>
      <c r="T68" s="11"/>
      <c r="AH68" s="120"/>
      <c r="AI68" s="120"/>
      <c r="AJ68" s="120"/>
    </row>
    <row r="69" spans="18:43" x14ac:dyDescent="0.25">
      <c r="R69" s="13"/>
      <c r="S69" s="11"/>
      <c r="T69" s="11"/>
      <c r="AH69" s="120"/>
      <c r="AI69" s="120"/>
      <c r="AJ69" s="120"/>
    </row>
    <row r="70" spans="18:43" x14ac:dyDescent="0.25">
      <c r="R70" s="13"/>
      <c r="S70" s="11"/>
      <c r="T70" s="11"/>
      <c r="AH70" s="120"/>
      <c r="AI70" s="120"/>
      <c r="AJ70" s="120"/>
    </row>
    <row r="71" spans="18:43" x14ac:dyDescent="0.25">
      <c r="R71" s="13"/>
      <c r="S71" s="11"/>
      <c r="T71" s="11"/>
      <c r="AH71" s="104"/>
      <c r="AI71" s="104"/>
      <c r="AJ71" s="104"/>
    </row>
    <row r="72" spans="18:43" x14ac:dyDescent="0.25">
      <c r="R72" s="13"/>
      <c r="S72" s="11"/>
      <c r="T72" s="11"/>
      <c r="AH72" s="104"/>
      <c r="AI72" s="104"/>
      <c r="AJ72" s="104"/>
    </row>
    <row r="73" spans="18:43" x14ac:dyDescent="0.25">
      <c r="R73" s="13"/>
      <c r="S73" s="11"/>
      <c r="T73" s="11"/>
      <c r="AH73" s="104"/>
      <c r="AI73" s="104"/>
      <c r="AJ73" s="104"/>
    </row>
    <row r="74" spans="18:43" x14ac:dyDescent="0.25">
      <c r="R74" s="13"/>
      <c r="S74" s="11"/>
      <c r="T74" s="11"/>
    </row>
    <row r="75" spans="18:43" x14ac:dyDescent="0.25">
      <c r="R75" s="13"/>
      <c r="S75" s="11"/>
      <c r="T75" s="11"/>
    </row>
    <row r="76" spans="18:43" x14ac:dyDescent="0.25">
      <c r="R76" s="13"/>
      <c r="S76" s="11"/>
      <c r="T76" s="11"/>
    </row>
    <row r="77" spans="18:43" x14ac:dyDescent="0.25">
      <c r="R77" s="13"/>
      <c r="S77" s="11"/>
      <c r="T77" s="11"/>
    </row>
    <row r="78" spans="18:43" x14ac:dyDescent="0.25">
      <c r="R78" s="13"/>
      <c r="S78" s="11"/>
      <c r="T78" s="11"/>
    </row>
    <row r="79" spans="18:43" x14ac:dyDescent="0.25">
      <c r="R79" s="14"/>
      <c r="S79" s="11"/>
      <c r="T79" s="11"/>
    </row>
    <row r="80" spans="18:43" x14ac:dyDescent="0.25">
      <c r="R80" s="15"/>
      <c r="S80" s="15"/>
      <c r="T80" s="15"/>
    </row>
    <row r="81" spans="18:20" x14ac:dyDescent="0.25">
      <c r="R81" s="15"/>
      <c r="S81" s="15"/>
      <c r="T81" s="15"/>
    </row>
    <row r="105" spans="17:28" x14ac:dyDescent="0.25">
      <c r="AA105" s="8"/>
      <c r="AB105" s="8"/>
    </row>
    <row r="106" spans="17:28" x14ac:dyDescent="0.25">
      <c r="AA106" s="8"/>
      <c r="AB106" s="8"/>
    </row>
    <row r="107" spans="17:28" x14ac:dyDescent="0.25">
      <c r="AA107" s="8"/>
      <c r="AB107" s="8"/>
    </row>
    <row r="108" spans="17:28" x14ac:dyDescent="0.25">
      <c r="AA108" s="8"/>
      <c r="AB108" s="8"/>
    </row>
    <row r="109" spans="17:28" x14ac:dyDescent="0.25"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</row>
    <row r="110" spans="17:28" x14ac:dyDescent="0.25"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10"/>
      <c r="AB110" s="8"/>
    </row>
    <row r="111" spans="17:28" x14ac:dyDescent="0.25"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</row>
    <row r="112" spans="17:28" x14ac:dyDescent="0.25"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</row>
    <row r="113" spans="1:28" x14ac:dyDescent="0.25"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</row>
    <row r="114" spans="1:28" x14ac:dyDescent="0.25"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8"/>
      <c r="AB114" s="8"/>
    </row>
    <row r="115" spans="1:28" x14ac:dyDescent="0.25"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</row>
    <row r="116" spans="1:28" x14ac:dyDescent="0.25"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</row>
    <row r="117" spans="1:28" ht="108.75" customHeight="1" x14ac:dyDescent="0.25"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</row>
    <row r="118" spans="1:28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14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</row>
    <row r="119" spans="1:28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14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</row>
    <row r="120" spans="1:28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14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</row>
    <row r="121" spans="1:28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14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</row>
    <row r="122" spans="1:28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14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</row>
    <row r="123" spans="1:28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14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</row>
    <row r="124" spans="1:28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14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</row>
    <row r="125" spans="1:28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14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</row>
    <row r="126" spans="1:28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14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</row>
    <row r="127" spans="1:28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14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</row>
    <row r="128" spans="1:28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14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</row>
    <row r="129" spans="1:28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14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</row>
    <row r="130" spans="1:28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14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</row>
    <row r="131" spans="1:28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14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</row>
    <row r="132" spans="1:28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14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</row>
    <row r="133" spans="1:28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14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</row>
    <row r="134" spans="1:28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14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</row>
    <row r="135" spans="1:28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14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</row>
    <row r="136" spans="1:28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</row>
    <row r="137" spans="1:28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1:28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1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1:28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1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</row>
    <row r="140" spans="1:28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1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</row>
    <row r="141" spans="1:28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1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</row>
    <row r="142" spans="1:28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1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</row>
    <row r="143" spans="1:28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1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</row>
    <row r="144" spans="1:28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1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</row>
    <row r="145" spans="1:28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1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</row>
    <row r="146" spans="1:28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1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</row>
    <row r="147" spans="1:28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1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</row>
    <row r="148" spans="1:28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1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</row>
    <row r="149" spans="1:28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1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</row>
    <row r="150" spans="1:28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1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</row>
    <row r="151" spans="1:28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1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</row>
    <row r="152" spans="1:28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1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</row>
    <row r="153" spans="1:28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</row>
    <row r="154" spans="1:28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</row>
  </sheetData>
  <mergeCells count="9">
    <mergeCell ref="AD59:AF62"/>
    <mergeCell ref="AH59:AJ70"/>
    <mergeCell ref="AB8:AC9"/>
    <mergeCell ref="AH5:AJ5"/>
    <mergeCell ref="AH6:AJ6"/>
    <mergeCell ref="AH7:AJ7"/>
    <mergeCell ref="AK5:AL7"/>
    <mergeCell ref="AD6:AF6"/>
    <mergeCell ref="AD7:AF7"/>
  </mergeCells>
  <pageMargins left="0.7" right="0.7" top="0.75" bottom="0.75" header="0.3" footer="0.3"/>
  <pageSetup paperSize="9" orientation="portrait" r:id="rId1"/>
  <ignoredErrors>
    <ignoredError sqref="Z21 Z18 Z26 Z45 Z51" formula="1"/>
    <ignoredError sqref="A34:A54 AC34:AC39" numberStoredAsText="1"/>
  </ignoredErrors>
  <drawing r:id="rId2"/>
  <legacyDrawing r:id="rId3"/>
  <controls>
    <mc:AlternateContent xmlns:mc="http://schemas.openxmlformats.org/markup-compatibility/2006">
      <mc:Choice Requires="x14">
        <control shapeId="1037" r:id="rId4" name="runInitialize">
          <controlPr defaultSize="0" autoLine="0" r:id="rId5">
            <anchor moveWithCells="1">
              <from>
                <xdr:col>42</xdr:col>
                <xdr:colOff>66675</xdr:colOff>
                <xdr:row>2</xdr:row>
                <xdr:rowOff>0</xdr:rowOff>
              </from>
              <to>
                <xdr:col>42</xdr:col>
                <xdr:colOff>1352550</xdr:colOff>
                <xdr:row>3</xdr:row>
                <xdr:rowOff>190500</xdr:rowOff>
              </to>
            </anchor>
          </controlPr>
        </control>
      </mc:Choice>
      <mc:Fallback>
        <control shapeId="1037" r:id="rId4" name="runInitialize"/>
      </mc:Fallback>
    </mc:AlternateContent>
    <mc:AlternateContent xmlns:mc="http://schemas.openxmlformats.org/markup-compatibility/2006">
      <mc:Choice Requires="x14">
        <control shapeId="1036" r:id="rId6" name="runAlgorithm">
          <controlPr defaultSize="0" autoLine="0" r:id="rId7">
            <anchor moveWithCells="1">
              <from>
                <xdr:col>42</xdr:col>
                <xdr:colOff>1009650</xdr:colOff>
                <xdr:row>56</xdr:row>
                <xdr:rowOff>104775</xdr:rowOff>
              </from>
              <to>
                <xdr:col>43</xdr:col>
                <xdr:colOff>1447800</xdr:colOff>
                <xdr:row>58</xdr:row>
                <xdr:rowOff>76200</xdr:rowOff>
              </to>
            </anchor>
          </controlPr>
        </control>
      </mc:Choice>
      <mc:Fallback>
        <control shapeId="1036" r:id="rId6" name="runAlgorithm"/>
      </mc:Fallback>
    </mc:AlternateContent>
    <mc:AlternateContent xmlns:mc="http://schemas.openxmlformats.org/markup-compatibility/2006">
      <mc:Choice Requires="x14">
        <control shapeId="1032" r:id="rId8" name="Choke">
          <controlPr defaultSize="0" autoLine="0" r:id="rId9">
            <anchor moveWithCells="1">
              <from>
                <xdr:col>33</xdr:col>
                <xdr:colOff>1352550</xdr:colOff>
                <xdr:row>1</xdr:row>
                <xdr:rowOff>85725</xdr:rowOff>
              </from>
              <to>
                <xdr:col>34</xdr:col>
                <xdr:colOff>371475</xdr:colOff>
                <xdr:row>3</xdr:row>
                <xdr:rowOff>104775</xdr:rowOff>
              </to>
            </anchor>
          </controlPr>
        </control>
      </mc:Choice>
      <mc:Fallback>
        <control shapeId="1032" r:id="rId8" name="Choke"/>
      </mc:Fallback>
    </mc:AlternateContent>
    <mc:AlternateContent xmlns:mc="http://schemas.openxmlformats.org/markup-compatibility/2006">
      <mc:Choice Requires="x14">
        <control shapeId="1028" r:id="rId10" name="ComputeMandV">
          <controlPr defaultSize="0" autoLine="0" r:id="rId11">
            <anchor moveWithCells="1">
              <from>
                <xdr:col>8</xdr:col>
                <xdr:colOff>447675</xdr:colOff>
                <xdr:row>4</xdr:row>
                <xdr:rowOff>85725</xdr:rowOff>
              </from>
              <to>
                <xdr:col>9</xdr:col>
                <xdr:colOff>838200</xdr:colOff>
                <xdr:row>6</xdr:row>
                <xdr:rowOff>114300</xdr:rowOff>
              </to>
            </anchor>
          </controlPr>
        </control>
      </mc:Choice>
      <mc:Fallback>
        <control shapeId="1028" r:id="rId10" name="ComputeMandV"/>
      </mc:Fallback>
    </mc:AlternateContent>
    <mc:AlternateContent xmlns:mc="http://schemas.openxmlformats.org/markup-compatibility/2006">
      <mc:Choice Requires="x14">
        <control shapeId="1027" r:id="rId12" name="Inverse">
          <controlPr defaultSize="0" autoLine="0" r:id="rId13">
            <anchor moveWithCells="1">
              <from>
                <xdr:col>30</xdr:col>
                <xdr:colOff>19050</xdr:colOff>
                <xdr:row>1</xdr:row>
                <xdr:rowOff>142875</xdr:rowOff>
              </from>
              <to>
                <xdr:col>30</xdr:col>
                <xdr:colOff>1257300</xdr:colOff>
                <xdr:row>4</xdr:row>
                <xdr:rowOff>76200</xdr:rowOff>
              </to>
            </anchor>
          </controlPr>
        </control>
      </mc:Choice>
      <mc:Fallback>
        <control shapeId="1027" r:id="rId12" name="Inverse"/>
      </mc:Fallback>
    </mc:AlternateContent>
    <mc:AlternateContent xmlns:mc="http://schemas.openxmlformats.org/markup-compatibility/2006">
      <mc:Choice Requires="x14">
        <control shapeId="1026" r:id="rId14" name="optimum0">
          <controlPr defaultSize="0" autoLine="0" r:id="rId15">
            <anchor moveWithCells="1">
              <from>
                <xdr:col>19</xdr:col>
                <xdr:colOff>123825</xdr:colOff>
                <xdr:row>4</xdr:row>
                <xdr:rowOff>57150</xdr:rowOff>
              </from>
              <to>
                <xdr:col>20</xdr:col>
                <xdr:colOff>1000125</xdr:colOff>
                <xdr:row>6</xdr:row>
                <xdr:rowOff>85725</xdr:rowOff>
              </to>
            </anchor>
          </controlPr>
        </control>
      </mc:Choice>
      <mc:Fallback>
        <control shapeId="1026" r:id="rId14" name="optimum0"/>
      </mc:Fallback>
    </mc:AlternateContent>
    <mc:AlternateContent xmlns:mc="http://schemas.openxmlformats.org/markup-compatibility/2006">
      <mc:Choice Requires="x14">
        <control shapeId="1025" r:id="rId16" name="ComputePressureLoss">
          <controlPr defaultSize="0" autoLine="0" r:id="rId17">
            <anchor moveWithCells="1">
              <from>
                <xdr:col>11</xdr:col>
                <xdr:colOff>923925</xdr:colOff>
                <xdr:row>4</xdr:row>
                <xdr:rowOff>76200</xdr:rowOff>
              </from>
              <to>
                <xdr:col>13</xdr:col>
                <xdr:colOff>419100</xdr:colOff>
                <xdr:row>6</xdr:row>
                <xdr:rowOff>104775</xdr:rowOff>
              </to>
            </anchor>
          </controlPr>
        </control>
      </mc:Choice>
      <mc:Fallback>
        <control shapeId="1025" r:id="rId16" name="ComputePressureLoss"/>
      </mc:Fallback>
    </mc:AlternateContent>
    <mc:AlternateContent xmlns:mc="http://schemas.openxmlformats.org/markup-compatibility/2006">
      <mc:Choice Requires="x14">
        <control shapeId="1030" r:id="rId18" name="LineLength">
          <controlPr defaultSize="0" autoLine="0" r:id="rId19">
            <anchor moveWithCells="1">
              <from>
                <xdr:col>10</xdr:col>
                <xdr:colOff>95250</xdr:colOff>
                <xdr:row>4</xdr:row>
                <xdr:rowOff>76200</xdr:rowOff>
              </from>
              <to>
                <xdr:col>11</xdr:col>
                <xdr:colOff>666750</xdr:colOff>
                <xdr:row>6</xdr:row>
                <xdr:rowOff>114300</xdr:rowOff>
              </to>
            </anchor>
          </controlPr>
        </control>
      </mc:Choice>
      <mc:Fallback>
        <control shapeId="1030" r:id="rId18" name="LineLength"/>
      </mc:Fallback>
    </mc:AlternateContent>
    <mc:AlternateContent xmlns:mc="http://schemas.openxmlformats.org/markup-compatibility/2006">
      <mc:Choice Requires="x14">
        <control shapeId="1033" r:id="rId20" name="RealCost">
          <controlPr defaultSize="0" autoLine="0" r:id="rId21">
            <anchor moveWithCells="1">
              <from>
                <xdr:col>37</xdr:col>
                <xdr:colOff>104775</xdr:colOff>
                <xdr:row>1</xdr:row>
                <xdr:rowOff>76200</xdr:rowOff>
              </from>
              <to>
                <xdr:col>37</xdr:col>
                <xdr:colOff>1343025</xdr:colOff>
                <xdr:row>3</xdr:row>
                <xdr:rowOff>114300</xdr:rowOff>
              </to>
            </anchor>
          </controlPr>
        </control>
      </mc:Choice>
      <mc:Fallback>
        <control shapeId="1033" r:id="rId20" name="RealCost"/>
      </mc:Fallback>
    </mc:AlternateContent>
    <mc:AlternateContent xmlns:mc="http://schemas.openxmlformats.org/markup-compatibility/2006">
      <mc:Choice Requires="x14">
        <control shapeId="1034" r:id="rId22" name="Eco">
          <controlPr defaultSize="0" autoLine="0" r:id="rId23">
            <anchor moveWithCells="1">
              <from>
                <xdr:col>36</xdr:col>
                <xdr:colOff>314325</xdr:colOff>
                <xdr:row>1</xdr:row>
                <xdr:rowOff>95250</xdr:rowOff>
              </from>
              <to>
                <xdr:col>36</xdr:col>
                <xdr:colOff>1114425</xdr:colOff>
                <xdr:row>3</xdr:row>
                <xdr:rowOff>104775</xdr:rowOff>
              </to>
            </anchor>
          </controlPr>
        </control>
      </mc:Choice>
      <mc:Fallback>
        <control shapeId="1034" r:id="rId22" name="Eco"/>
      </mc:Fallback>
    </mc:AlternateContent>
    <mc:AlternateContent xmlns:mc="http://schemas.openxmlformats.org/markup-compatibility/2006">
      <mc:Choice Requires="x14">
        <control shapeId="1035" r:id="rId24" name="ComputeAll">
          <controlPr defaultSize="0" autoLine="0" autoPict="0" r:id="rId25">
            <anchor moveWithCells="1">
              <from>
                <xdr:col>6</xdr:col>
                <xdr:colOff>285750</xdr:colOff>
                <xdr:row>4</xdr:row>
                <xdr:rowOff>28575</xdr:rowOff>
              </from>
              <to>
                <xdr:col>7</xdr:col>
                <xdr:colOff>361950</xdr:colOff>
                <xdr:row>6</xdr:row>
                <xdr:rowOff>57150</xdr:rowOff>
              </to>
            </anchor>
          </controlPr>
        </control>
      </mc:Choice>
      <mc:Fallback>
        <control shapeId="1035" r:id="rId24" name="Compute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"/>
  <sheetViews>
    <sheetView workbookViewId="0">
      <selection activeCell="U19" sqref="U1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Adatbazis</vt:lpstr>
      <vt:lpstr>KapcsolasiAbra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2015-01-06T11:18:52Z</dcterms:created>
  <dcterms:modified xsi:type="dcterms:W3CDTF">2018-12-25T13:46:32Z</dcterms:modified>
</cp:coreProperties>
</file>